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shkevich.Pavel\Documents\bpc\"/>
    </mc:Choice>
  </mc:AlternateContent>
  <xr:revisionPtr revIDLastSave="0" documentId="13_ncr:1_{76EC06DA-CEEE-4238-9BE6-A3CC3998A2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Доходная часть ТО, ЦП" sheetId="1" r:id="rId1"/>
    <sheet name="Расходная часть ТО, ЦП" sheetId="2" r:id="rId2"/>
    <sheet name="Лист5" sheetId="8" r:id="rId3"/>
    <sheet name="Лист6" sheetId="9" r:id="rId4"/>
    <sheet name="Группа статей 38" sheetId="3" r:id="rId5"/>
    <sheet name="Лист2" sheetId="5" r:id="rId6"/>
    <sheet name="Лист4" sheetId="7" r:id="rId7"/>
    <sheet name="упр статьи" sheetId="6" r:id="rId8"/>
  </sheets>
  <definedNames>
    <definedName name="_xlnm._FilterDatabase" localSheetId="1" hidden="1">'Расходная часть ТО, ЦП'!$A$1:$M$664</definedName>
    <definedName name="_xlnm._FilterDatabase" localSheetId="7" hidden="1">'упр статьи'!$A$1:$B$388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2" i="2"/>
  <c r="S2" i="2"/>
  <c r="N3" i="2"/>
  <c r="O3" i="2"/>
  <c r="P3" i="2"/>
  <c r="Q3" i="2"/>
  <c r="R3" i="2"/>
  <c r="S3" i="2"/>
  <c r="N4" i="2"/>
  <c r="O4" i="2"/>
  <c r="P4" i="2"/>
  <c r="Q4" i="2"/>
  <c r="R4" i="2"/>
  <c r="S4" i="2"/>
  <c r="N5" i="2"/>
  <c r="O5" i="2"/>
  <c r="P5" i="2"/>
  <c r="Q5" i="2"/>
  <c r="R5" i="2"/>
  <c r="S5" i="2"/>
  <c r="N6" i="2"/>
  <c r="O6" i="2"/>
  <c r="P6" i="2"/>
  <c r="Q6" i="2"/>
  <c r="R6" i="2"/>
  <c r="S6" i="2"/>
  <c r="N7" i="2"/>
  <c r="O7" i="2"/>
  <c r="P7" i="2"/>
  <c r="Q7" i="2"/>
  <c r="R7" i="2"/>
  <c r="S7" i="2"/>
  <c r="N8" i="2"/>
  <c r="O8" i="2"/>
  <c r="P8" i="2"/>
  <c r="Q8" i="2"/>
  <c r="R8" i="2"/>
  <c r="S8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2" i="2"/>
  <c r="O12" i="2"/>
  <c r="P12" i="2"/>
  <c r="Q12" i="2"/>
  <c r="R12" i="2"/>
  <c r="S12" i="2"/>
  <c r="N13" i="2"/>
  <c r="O13" i="2"/>
  <c r="P13" i="2"/>
  <c r="Q13" i="2"/>
  <c r="R13" i="2"/>
  <c r="S13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7" i="2"/>
  <c r="O17" i="2"/>
  <c r="P17" i="2"/>
  <c r="Q17" i="2"/>
  <c r="R17" i="2"/>
  <c r="S17" i="2"/>
  <c r="N18" i="2"/>
  <c r="O18" i="2"/>
  <c r="P18" i="2"/>
  <c r="Q18" i="2"/>
  <c r="R18" i="2"/>
  <c r="S18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2" i="2"/>
  <c r="O22" i="2"/>
  <c r="P22" i="2"/>
  <c r="Q22" i="2"/>
  <c r="R22" i="2"/>
  <c r="S22" i="2"/>
  <c r="N23" i="2"/>
  <c r="O23" i="2"/>
  <c r="P23" i="2"/>
  <c r="Q23" i="2"/>
  <c r="R23" i="2"/>
  <c r="S23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7" i="2"/>
  <c r="O27" i="2"/>
  <c r="P27" i="2"/>
  <c r="Q27" i="2"/>
  <c r="R27" i="2"/>
  <c r="S27" i="2"/>
  <c r="N28" i="2"/>
  <c r="O28" i="2"/>
  <c r="P28" i="2"/>
  <c r="Q28" i="2"/>
  <c r="R28" i="2"/>
  <c r="S28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2" i="2"/>
  <c r="O32" i="2"/>
  <c r="P32" i="2"/>
  <c r="Q32" i="2"/>
  <c r="R32" i="2"/>
  <c r="S32" i="2"/>
  <c r="N33" i="2"/>
  <c r="O33" i="2"/>
  <c r="P33" i="2"/>
  <c r="Q33" i="2"/>
  <c r="R33" i="2"/>
  <c r="S33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7" i="2"/>
  <c r="O37" i="2"/>
  <c r="P37" i="2"/>
  <c r="Q37" i="2"/>
  <c r="R37" i="2"/>
  <c r="S37" i="2"/>
  <c r="N38" i="2"/>
  <c r="O38" i="2"/>
  <c r="P38" i="2"/>
  <c r="Q38" i="2"/>
  <c r="R38" i="2"/>
  <c r="S38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2" i="2"/>
  <c r="O42" i="2"/>
  <c r="P42" i="2"/>
  <c r="Q42" i="2"/>
  <c r="R42" i="2"/>
  <c r="S42" i="2"/>
  <c r="N43" i="2"/>
  <c r="O43" i="2"/>
  <c r="P43" i="2"/>
  <c r="Q43" i="2"/>
  <c r="R43" i="2"/>
  <c r="S43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7" i="2"/>
  <c r="O47" i="2"/>
  <c r="P47" i="2"/>
  <c r="Q47" i="2"/>
  <c r="R47" i="2"/>
  <c r="S47" i="2"/>
  <c r="N48" i="2"/>
  <c r="O48" i="2"/>
  <c r="P48" i="2"/>
  <c r="Q48" i="2"/>
  <c r="R48" i="2"/>
  <c r="S48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2" i="2"/>
  <c r="O52" i="2"/>
  <c r="P52" i="2"/>
  <c r="Q52" i="2"/>
  <c r="R52" i="2"/>
  <c r="S52" i="2"/>
  <c r="N53" i="2"/>
  <c r="O53" i="2"/>
  <c r="P53" i="2"/>
  <c r="Q53" i="2"/>
  <c r="R53" i="2"/>
  <c r="S53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7" i="2"/>
  <c r="O57" i="2"/>
  <c r="P57" i="2"/>
  <c r="Q57" i="2"/>
  <c r="R57" i="2"/>
  <c r="S57" i="2"/>
  <c r="N58" i="2"/>
  <c r="O58" i="2"/>
  <c r="P58" i="2"/>
  <c r="Q58" i="2"/>
  <c r="R58" i="2"/>
  <c r="S58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2" i="2"/>
  <c r="O62" i="2"/>
  <c r="P62" i="2"/>
  <c r="Q62" i="2"/>
  <c r="R62" i="2"/>
  <c r="S62" i="2"/>
  <c r="N63" i="2"/>
  <c r="O63" i="2"/>
  <c r="P63" i="2"/>
  <c r="Q63" i="2"/>
  <c r="R63" i="2"/>
  <c r="S63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7" i="2"/>
  <c r="O67" i="2"/>
  <c r="P67" i="2"/>
  <c r="Q67" i="2"/>
  <c r="R67" i="2"/>
  <c r="S67" i="2"/>
  <c r="N68" i="2"/>
  <c r="O68" i="2"/>
  <c r="P68" i="2"/>
  <c r="Q68" i="2"/>
  <c r="R68" i="2"/>
  <c r="S68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2" i="2"/>
  <c r="O72" i="2"/>
  <c r="P72" i="2"/>
  <c r="Q72" i="2"/>
  <c r="R72" i="2"/>
  <c r="S72" i="2"/>
  <c r="N73" i="2"/>
  <c r="O73" i="2"/>
  <c r="P73" i="2"/>
  <c r="Q73" i="2"/>
  <c r="R73" i="2"/>
  <c r="S73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7" i="2"/>
  <c r="O77" i="2"/>
  <c r="P77" i="2"/>
  <c r="Q77" i="2"/>
  <c r="R77" i="2"/>
  <c r="S77" i="2"/>
  <c r="N78" i="2"/>
  <c r="O78" i="2"/>
  <c r="P78" i="2"/>
  <c r="Q78" i="2"/>
  <c r="R78" i="2"/>
  <c r="S78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2" i="2"/>
  <c r="O82" i="2"/>
  <c r="P82" i="2"/>
  <c r="Q82" i="2"/>
  <c r="R82" i="2"/>
  <c r="S82" i="2"/>
  <c r="N83" i="2"/>
  <c r="O83" i="2"/>
  <c r="P83" i="2"/>
  <c r="Q83" i="2"/>
  <c r="R83" i="2"/>
  <c r="S83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7" i="2"/>
  <c r="O87" i="2"/>
  <c r="P87" i="2"/>
  <c r="Q87" i="2"/>
  <c r="R87" i="2"/>
  <c r="S87" i="2"/>
  <c r="N88" i="2"/>
  <c r="O88" i="2"/>
  <c r="P88" i="2"/>
  <c r="Q88" i="2"/>
  <c r="R88" i="2"/>
  <c r="S88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2" i="2"/>
  <c r="O92" i="2"/>
  <c r="P92" i="2"/>
  <c r="Q92" i="2"/>
  <c r="R92" i="2"/>
  <c r="S92" i="2"/>
  <c r="N93" i="2"/>
  <c r="O93" i="2"/>
  <c r="P93" i="2"/>
  <c r="Q93" i="2"/>
  <c r="R93" i="2"/>
  <c r="S93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7" i="2"/>
  <c r="O97" i="2"/>
  <c r="P97" i="2"/>
  <c r="Q97" i="2"/>
  <c r="R97" i="2"/>
  <c r="S97" i="2"/>
  <c r="N98" i="2"/>
  <c r="O98" i="2"/>
  <c r="P98" i="2"/>
  <c r="Q98" i="2"/>
  <c r="R98" i="2"/>
  <c r="S98" i="2"/>
  <c r="N99" i="2"/>
  <c r="O99" i="2"/>
  <c r="P99" i="2"/>
  <c r="Q99" i="2"/>
  <c r="R99" i="2"/>
  <c r="S99" i="2"/>
  <c r="N100" i="2"/>
  <c r="O100" i="2"/>
  <c r="P100" i="2"/>
  <c r="Q100" i="2"/>
  <c r="R100" i="2"/>
  <c r="S100" i="2"/>
  <c r="N101" i="2"/>
  <c r="O101" i="2"/>
  <c r="P101" i="2"/>
  <c r="Q101" i="2"/>
  <c r="R101" i="2"/>
  <c r="S101" i="2"/>
  <c r="N102" i="2"/>
  <c r="O102" i="2"/>
  <c r="P102" i="2"/>
  <c r="Q102" i="2"/>
  <c r="R102" i="2"/>
  <c r="S102" i="2"/>
  <c r="N103" i="2"/>
  <c r="O103" i="2"/>
  <c r="P103" i="2"/>
  <c r="Q103" i="2"/>
  <c r="R103" i="2"/>
  <c r="S103" i="2"/>
  <c r="N104" i="2"/>
  <c r="O104" i="2"/>
  <c r="P104" i="2"/>
  <c r="Q104" i="2"/>
  <c r="R104" i="2"/>
  <c r="S104" i="2"/>
  <c r="N105" i="2"/>
  <c r="O105" i="2"/>
  <c r="P105" i="2"/>
  <c r="Q105" i="2"/>
  <c r="R105" i="2"/>
  <c r="S105" i="2"/>
  <c r="N106" i="2"/>
  <c r="O106" i="2"/>
  <c r="P106" i="2"/>
  <c r="Q106" i="2"/>
  <c r="R106" i="2"/>
  <c r="S106" i="2"/>
  <c r="N107" i="2"/>
  <c r="O107" i="2"/>
  <c r="P107" i="2"/>
  <c r="Q107" i="2"/>
  <c r="R107" i="2"/>
  <c r="S107" i="2"/>
  <c r="N108" i="2"/>
  <c r="O108" i="2"/>
  <c r="P108" i="2"/>
  <c r="Q108" i="2"/>
  <c r="R108" i="2"/>
  <c r="S108" i="2"/>
  <c r="N109" i="2"/>
  <c r="O109" i="2"/>
  <c r="P109" i="2"/>
  <c r="Q109" i="2"/>
  <c r="R109" i="2"/>
  <c r="S109" i="2"/>
  <c r="N110" i="2"/>
  <c r="O110" i="2"/>
  <c r="P110" i="2"/>
  <c r="Q110" i="2"/>
  <c r="R110" i="2"/>
  <c r="S110" i="2"/>
  <c r="N111" i="2"/>
  <c r="O111" i="2"/>
  <c r="P111" i="2"/>
  <c r="Q111" i="2"/>
  <c r="R111" i="2"/>
  <c r="S111" i="2"/>
  <c r="N112" i="2"/>
  <c r="O112" i="2"/>
  <c r="P112" i="2"/>
  <c r="Q112" i="2"/>
  <c r="R112" i="2"/>
  <c r="S112" i="2"/>
  <c r="N113" i="2"/>
  <c r="O113" i="2"/>
  <c r="P113" i="2"/>
  <c r="Q113" i="2"/>
  <c r="R113" i="2"/>
  <c r="S113" i="2"/>
  <c r="N114" i="2"/>
  <c r="O114" i="2"/>
  <c r="P114" i="2"/>
  <c r="Q114" i="2"/>
  <c r="R114" i="2"/>
  <c r="S114" i="2"/>
  <c r="N115" i="2"/>
  <c r="O115" i="2"/>
  <c r="P115" i="2"/>
  <c r="Q115" i="2"/>
  <c r="R115" i="2"/>
  <c r="S115" i="2"/>
  <c r="N116" i="2"/>
  <c r="O116" i="2"/>
  <c r="P116" i="2"/>
  <c r="Q116" i="2"/>
  <c r="R116" i="2"/>
  <c r="S116" i="2"/>
  <c r="N117" i="2"/>
  <c r="O117" i="2"/>
  <c r="P117" i="2"/>
  <c r="Q117" i="2"/>
  <c r="R117" i="2"/>
  <c r="S117" i="2"/>
  <c r="N118" i="2"/>
  <c r="O118" i="2"/>
  <c r="P118" i="2"/>
  <c r="Q118" i="2"/>
  <c r="R118" i="2"/>
  <c r="S118" i="2"/>
  <c r="N119" i="2"/>
  <c r="O119" i="2"/>
  <c r="P119" i="2"/>
  <c r="Q119" i="2"/>
  <c r="R119" i="2"/>
  <c r="S119" i="2"/>
  <c r="N120" i="2"/>
  <c r="O120" i="2"/>
  <c r="P120" i="2"/>
  <c r="Q120" i="2"/>
  <c r="R120" i="2"/>
  <c r="S120" i="2"/>
  <c r="N121" i="2"/>
  <c r="O121" i="2"/>
  <c r="P121" i="2"/>
  <c r="Q121" i="2"/>
  <c r="R121" i="2"/>
  <c r="S121" i="2"/>
  <c r="N122" i="2"/>
  <c r="O122" i="2"/>
  <c r="P122" i="2"/>
  <c r="Q122" i="2"/>
  <c r="R122" i="2"/>
  <c r="S122" i="2"/>
  <c r="N123" i="2"/>
  <c r="O123" i="2"/>
  <c r="P123" i="2"/>
  <c r="Q123" i="2"/>
  <c r="R123" i="2"/>
  <c r="S123" i="2"/>
  <c r="N124" i="2"/>
  <c r="O124" i="2"/>
  <c r="P124" i="2"/>
  <c r="Q124" i="2"/>
  <c r="R124" i="2"/>
  <c r="S124" i="2"/>
  <c r="N125" i="2"/>
  <c r="O125" i="2"/>
  <c r="P125" i="2"/>
  <c r="Q125" i="2"/>
  <c r="R125" i="2"/>
  <c r="S125" i="2"/>
  <c r="N126" i="2"/>
  <c r="O126" i="2"/>
  <c r="P126" i="2"/>
  <c r="Q126" i="2"/>
  <c r="R126" i="2"/>
  <c r="S126" i="2"/>
  <c r="N127" i="2"/>
  <c r="O127" i="2"/>
  <c r="P127" i="2"/>
  <c r="Q127" i="2"/>
  <c r="R127" i="2"/>
  <c r="S127" i="2"/>
  <c r="N128" i="2"/>
  <c r="O128" i="2"/>
  <c r="P128" i="2"/>
  <c r="Q128" i="2"/>
  <c r="R128" i="2"/>
  <c r="S128" i="2"/>
  <c r="N129" i="2"/>
  <c r="O129" i="2"/>
  <c r="P129" i="2"/>
  <c r="Q129" i="2"/>
  <c r="R129" i="2"/>
  <c r="S129" i="2"/>
  <c r="N130" i="2"/>
  <c r="O130" i="2"/>
  <c r="P130" i="2"/>
  <c r="Q130" i="2"/>
  <c r="R130" i="2"/>
  <c r="S130" i="2"/>
  <c r="N131" i="2"/>
  <c r="O131" i="2"/>
  <c r="P131" i="2"/>
  <c r="Q131" i="2"/>
  <c r="R131" i="2"/>
  <c r="S131" i="2"/>
  <c r="N132" i="2"/>
  <c r="O132" i="2"/>
  <c r="P132" i="2"/>
  <c r="Q132" i="2"/>
  <c r="R132" i="2"/>
  <c r="S132" i="2"/>
  <c r="N133" i="2"/>
  <c r="O133" i="2"/>
  <c r="P133" i="2"/>
  <c r="Q133" i="2"/>
  <c r="R133" i="2"/>
  <c r="S133" i="2"/>
  <c r="N134" i="2"/>
  <c r="O134" i="2"/>
  <c r="P134" i="2"/>
  <c r="Q134" i="2"/>
  <c r="R134" i="2"/>
  <c r="S134" i="2"/>
  <c r="N135" i="2"/>
  <c r="O135" i="2"/>
  <c r="P135" i="2"/>
  <c r="Q135" i="2"/>
  <c r="R135" i="2"/>
  <c r="S135" i="2"/>
  <c r="N136" i="2"/>
  <c r="O136" i="2"/>
  <c r="P136" i="2"/>
  <c r="Q136" i="2"/>
  <c r="R136" i="2"/>
  <c r="S136" i="2"/>
  <c r="N137" i="2"/>
  <c r="O137" i="2"/>
  <c r="P137" i="2"/>
  <c r="Q137" i="2"/>
  <c r="R137" i="2"/>
  <c r="S137" i="2"/>
  <c r="N138" i="2"/>
  <c r="O138" i="2"/>
  <c r="P138" i="2"/>
  <c r="Q138" i="2"/>
  <c r="R138" i="2"/>
  <c r="S138" i="2"/>
  <c r="N139" i="2"/>
  <c r="O139" i="2"/>
  <c r="P139" i="2"/>
  <c r="Q139" i="2"/>
  <c r="R139" i="2"/>
  <c r="S139" i="2"/>
  <c r="N140" i="2"/>
  <c r="O140" i="2"/>
  <c r="P140" i="2"/>
  <c r="Q140" i="2"/>
  <c r="R140" i="2"/>
  <c r="S140" i="2"/>
  <c r="N141" i="2"/>
  <c r="O141" i="2"/>
  <c r="P141" i="2"/>
  <c r="Q141" i="2"/>
  <c r="R141" i="2"/>
  <c r="S141" i="2"/>
  <c r="N142" i="2"/>
  <c r="O142" i="2"/>
  <c r="P142" i="2"/>
  <c r="Q142" i="2"/>
  <c r="R142" i="2"/>
  <c r="S142" i="2"/>
  <c r="N143" i="2"/>
  <c r="O143" i="2"/>
  <c r="P143" i="2"/>
  <c r="Q143" i="2"/>
  <c r="R143" i="2"/>
  <c r="S143" i="2"/>
  <c r="N144" i="2"/>
  <c r="O144" i="2"/>
  <c r="P144" i="2"/>
  <c r="Q144" i="2"/>
  <c r="R144" i="2"/>
  <c r="S144" i="2"/>
  <c r="N145" i="2"/>
  <c r="O145" i="2"/>
  <c r="P145" i="2"/>
  <c r="Q145" i="2"/>
  <c r="R145" i="2"/>
  <c r="S145" i="2"/>
  <c r="N146" i="2"/>
  <c r="O146" i="2"/>
  <c r="P146" i="2"/>
  <c r="Q146" i="2"/>
  <c r="R146" i="2"/>
  <c r="S146" i="2"/>
  <c r="N147" i="2"/>
  <c r="O147" i="2"/>
  <c r="P147" i="2"/>
  <c r="Q147" i="2"/>
  <c r="R147" i="2"/>
  <c r="S147" i="2"/>
  <c r="N148" i="2"/>
  <c r="O148" i="2"/>
  <c r="P148" i="2"/>
  <c r="Q148" i="2"/>
  <c r="R148" i="2"/>
  <c r="S148" i="2"/>
  <c r="N149" i="2"/>
  <c r="O149" i="2"/>
  <c r="P149" i="2"/>
  <c r="Q149" i="2"/>
  <c r="R149" i="2"/>
  <c r="S149" i="2"/>
  <c r="N150" i="2"/>
  <c r="O150" i="2"/>
  <c r="P150" i="2"/>
  <c r="Q150" i="2"/>
  <c r="R150" i="2"/>
  <c r="S150" i="2"/>
  <c r="N151" i="2"/>
  <c r="O151" i="2"/>
  <c r="P151" i="2"/>
  <c r="Q151" i="2"/>
  <c r="R151" i="2"/>
  <c r="S151" i="2"/>
  <c r="N152" i="2"/>
  <c r="O152" i="2"/>
  <c r="P152" i="2"/>
  <c r="Q152" i="2"/>
  <c r="R152" i="2"/>
  <c r="S152" i="2"/>
  <c r="N153" i="2"/>
  <c r="O153" i="2"/>
  <c r="P153" i="2"/>
  <c r="Q153" i="2"/>
  <c r="R153" i="2"/>
  <c r="S153" i="2"/>
  <c r="N154" i="2"/>
  <c r="O154" i="2"/>
  <c r="P154" i="2"/>
  <c r="Q154" i="2"/>
  <c r="R154" i="2"/>
  <c r="S154" i="2"/>
  <c r="N155" i="2"/>
  <c r="O155" i="2"/>
  <c r="P155" i="2"/>
  <c r="Q155" i="2"/>
  <c r="R155" i="2"/>
  <c r="S155" i="2"/>
  <c r="N156" i="2"/>
  <c r="O156" i="2"/>
  <c r="P156" i="2"/>
  <c r="Q156" i="2"/>
  <c r="R156" i="2"/>
  <c r="S156" i="2"/>
  <c r="N157" i="2"/>
  <c r="O157" i="2"/>
  <c r="P157" i="2"/>
  <c r="Q157" i="2"/>
  <c r="R157" i="2"/>
  <c r="S157" i="2"/>
  <c r="N158" i="2"/>
  <c r="O158" i="2"/>
  <c r="P158" i="2"/>
  <c r="Q158" i="2"/>
  <c r="R158" i="2"/>
  <c r="S158" i="2"/>
  <c r="N159" i="2"/>
  <c r="O159" i="2"/>
  <c r="P159" i="2"/>
  <c r="Q159" i="2"/>
  <c r="R159" i="2"/>
  <c r="S159" i="2"/>
  <c r="N160" i="2"/>
  <c r="O160" i="2"/>
  <c r="P160" i="2"/>
  <c r="Q160" i="2"/>
  <c r="R160" i="2"/>
  <c r="S160" i="2"/>
  <c r="N161" i="2"/>
  <c r="O161" i="2"/>
  <c r="P161" i="2"/>
  <c r="Q161" i="2"/>
  <c r="R161" i="2"/>
  <c r="S161" i="2"/>
  <c r="N162" i="2"/>
  <c r="O162" i="2"/>
  <c r="P162" i="2"/>
  <c r="Q162" i="2"/>
  <c r="R162" i="2"/>
  <c r="S162" i="2"/>
  <c r="N163" i="2"/>
  <c r="O163" i="2"/>
  <c r="P163" i="2"/>
  <c r="Q163" i="2"/>
  <c r="R163" i="2"/>
  <c r="S163" i="2"/>
  <c r="N164" i="2"/>
  <c r="O164" i="2"/>
  <c r="P164" i="2"/>
  <c r="Q164" i="2"/>
  <c r="R164" i="2"/>
  <c r="S164" i="2"/>
  <c r="N165" i="2"/>
  <c r="O165" i="2"/>
  <c r="P165" i="2"/>
  <c r="Q165" i="2"/>
  <c r="R165" i="2"/>
  <c r="S165" i="2"/>
  <c r="N166" i="2"/>
  <c r="O166" i="2"/>
  <c r="P166" i="2"/>
  <c r="Q166" i="2"/>
  <c r="R166" i="2"/>
  <c r="S166" i="2"/>
  <c r="N167" i="2"/>
  <c r="O167" i="2"/>
  <c r="P167" i="2"/>
  <c r="Q167" i="2"/>
  <c r="R167" i="2"/>
  <c r="S167" i="2"/>
  <c r="N168" i="2"/>
  <c r="O168" i="2"/>
  <c r="P168" i="2"/>
  <c r="Q168" i="2"/>
  <c r="R168" i="2"/>
  <c r="S168" i="2"/>
  <c r="N169" i="2"/>
  <c r="O169" i="2"/>
  <c r="P169" i="2"/>
  <c r="Q169" i="2"/>
  <c r="R169" i="2"/>
  <c r="S169" i="2"/>
  <c r="N170" i="2"/>
  <c r="O170" i="2"/>
  <c r="P170" i="2"/>
  <c r="Q170" i="2"/>
  <c r="R170" i="2"/>
  <c r="S170" i="2"/>
  <c r="N171" i="2"/>
  <c r="O171" i="2"/>
  <c r="P171" i="2"/>
  <c r="Q171" i="2"/>
  <c r="R171" i="2"/>
  <c r="S171" i="2"/>
  <c r="N172" i="2"/>
  <c r="O172" i="2"/>
  <c r="P172" i="2"/>
  <c r="Q172" i="2"/>
  <c r="R172" i="2"/>
  <c r="S172" i="2"/>
  <c r="N173" i="2"/>
  <c r="O173" i="2"/>
  <c r="P173" i="2"/>
  <c r="Q173" i="2"/>
  <c r="R173" i="2"/>
  <c r="S173" i="2"/>
  <c r="N174" i="2"/>
  <c r="O174" i="2"/>
  <c r="P174" i="2"/>
  <c r="Q174" i="2"/>
  <c r="R174" i="2"/>
  <c r="S174" i="2"/>
  <c r="N175" i="2"/>
  <c r="O175" i="2"/>
  <c r="P175" i="2"/>
  <c r="Q175" i="2"/>
  <c r="R175" i="2"/>
  <c r="S175" i="2"/>
  <c r="N176" i="2"/>
  <c r="O176" i="2"/>
  <c r="P176" i="2"/>
  <c r="Q176" i="2"/>
  <c r="R176" i="2"/>
  <c r="S176" i="2"/>
  <c r="N177" i="2"/>
  <c r="O177" i="2"/>
  <c r="P177" i="2"/>
  <c r="Q177" i="2"/>
  <c r="R177" i="2"/>
  <c r="S177" i="2"/>
  <c r="N178" i="2"/>
  <c r="O178" i="2"/>
  <c r="P178" i="2"/>
  <c r="Q178" i="2"/>
  <c r="R178" i="2"/>
  <c r="S178" i="2"/>
  <c r="N179" i="2"/>
  <c r="O179" i="2"/>
  <c r="P179" i="2"/>
  <c r="Q179" i="2"/>
  <c r="R179" i="2"/>
  <c r="S179" i="2"/>
  <c r="N180" i="2"/>
  <c r="O180" i="2"/>
  <c r="P180" i="2"/>
  <c r="Q180" i="2"/>
  <c r="R180" i="2"/>
  <c r="S180" i="2"/>
  <c r="N181" i="2"/>
  <c r="O181" i="2"/>
  <c r="P181" i="2"/>
  <c r="Q181" i="2"/>
  <c r="R181" i="2"/>
  <c r="S181" i="2"/>
  <c r="N182" i="2"/>
  <c r="O182" i="2"/>
  <c r="P182" i="2"/>
  <c r="Q182" i="2"/>
  <c r="R182" i="2"/>
  <c r="S182" i="2"/>
  <c r="N183" i="2"/>
  <c r="O183" i="2"/>
  <c r="P183" i="2"/>
  <c r="Q183" i="2"/>
  <c r="R183" i="2"/>
  <c r="S183" i="2"/>
  <c r="N184" i="2"/>
  <c r="O184" i="2"/>
  <c r="P184" i="2"/>
  <c r="Q184" i="2"/>
  <c r="R184" i="2"/>
  <c r="S184" i="2"/>
  <c r="N185" i="2"/>
  <c r="O185" i="2"/>
  <c r="P185" i="2"/>
  <c r="Q185" i="2"/>
  <c r="R185" i="2"/>
  <c r="S185" i="2"/>
  <c r="N186" i="2"/>
  <c r="O186" i="2"/>
  <c r="P186" i="2"/>
  <c r="Q186" i="2"/>
  <c r="R186" i="2"/>
  <c r="S186" i="2"/>
  <c r="N187" i="2"/>
  <c r="O187" i="2"/>
  <c r="P187" i="2"/>
  <c r="Q187" i="2"/>
  <c r="R187" i="2"/>
  <c r="S187" i="2"/>
  <c r="N188" i="2"/>
  <c r="O188" i="2"/>
  <c r="P188" i="2"/>
  <c r="Q188" i="2"/>
  <c r="R188" i="2"/>
  <c r="S188" i="2"/>
  <c r="N189" i="2"/>
  <c r="O189" i="2"/>
  <c r="P189" i="2"/>
  <c r="Q189" i="2"/>
  <c r="R189" i="2"/>
  <c r="S189" i="2"/>
  <c r="N190" i="2"/>
  <c r="O190" i="2"/>
  <c r="P190" i="2"/>
  <c r="Q190" i="2"/>
  <c r="R190" i="2"/>
  <c r="S190" i="2"/>
  <c r="N191" i="2"/>
  <c r="O191" i="2"/>
  <c r="P191" i="2"/>
  <c r="Q191" i="2"/>
  <c r="R191" i="2"/>
  <c r="S191" i="2"/>
  <c r="N192" i="2"/>
  <c r="O192" i="2"/>
  <c r="P192" i="2"/>
  <c r="Q192" i="2"/>
  <c r="R192" i="2"/>
  <c r="S192" i="2"/>
  <c r="N193" i="2"/>
  <c r="O193" i="2"/>
  <c r="P193" i="2"/>
  <c r="Q193" i="2"/>
  <c r="R193" i="2"/>
  <c r="S193" i="2"/>
  <c r="N194" i="2"/>
  <c r="O194" i="2"/>
  <c r="P194" i="2"/>
  <c r="Q194" i="2"/>
  <c r="R194" i="2"/>
  <c r="S194" i="2"/>
  <c r="N195" i="2"/>
  <c r="O195" i="2"/>
  <c r="P195" i="2"/>
  <c r="Q195" i="2"/>
  <c r="R195" i="2"/>
  <c r="S195" i="2"/>
  <c r="N196" i="2"/>
  <c r="O196" i="2"/>
  <c r="P196" i="2"/>
  <c r="Q196" i="2"/>
  <c r="R196" i="2"/>
  <c r="S196" i="2"/>
  <c r="N197" i="2"/>
  <c r="O197" i="2"/>
  <c r="P197" i="2"/>
  <c r="Q197" i="2"/>
  <c r="R197" i="2"/>
  <c r="S197" i="2"/>
  <c r="N198" i="2"/>
  <c r="O198" i="2"/>
  <c r="P198" i="2"/>
  <c r="Q198" i="2"/>
  <c r="R198" i="2"/>
  <c r="S198" i="2"/>
  <c r="N199" i="2"/>
  <c r="O199" i="2"/>
  <c r="P199" i="2"/>
  <c r="Q199" i="2"/>
  <c r="R199" i="2"/>
  <c r="S199" i="2"/>
  <c r="N200" i="2"/>
  <c r="O200" i="2"/>
  <c r="P200" i="2"/>
  <c r="Q200" i="2"/>
  <c r="R200" i="2"/>
  <c r="S200" i="2"/>
  <c r="N201" i="2"/>
  <c r="O201" i="2"/>
  <c r="P201" i="2"/>
  <c r="Q201" i="2"/>
  <c r="R201" i="2"/>
  <c r="S201" i="2"/>
  <c r="N202" i="2"/>
  <c r="O202" i="2"/>
  <c r="P202" i="2"/>
  <c r="Q202" i="2"/>
  <c r="R202" i="2"/>
  <c r="S202" i="2"/>
  <c r="N203" i="2"/>
  <c r="O203" i="2"/>
  <c r="P203" i="2"/>
  <c r="Q203" i="2"/>
  <c r="R203" i="2"/>
  <c r="S203" i="2"/>
  <c r="N204" i="2"/>
  <c r="O204" i="2"/>
  <c r="P204" i="2"/>
  <c r="Q204" i="2"/>
  <c r="R204" i="2"/>
  <c r="S204" i="2"/>
  <c r="N205" i="2"/>
  <c r="O205" i="2"/>
  <c r="P205" i="2"/>
  <c r="Q205" i="2"/>
  <c r="R205" i="2"/>
  <c r="S205" i="2"/>
  <c r="N206" i="2"/>
  <c r="O206" i="2"/>
  <c r="P206" i="2"/>
  <c r="Q206" i="2"/>
  <c r="R206" i="2"/>
  <c r="S206" i="2"/>
  <c r="N207" i="2"/>
  <c r="O207" i="2"/>
  <c r="P207" i="2"/>
  <c r="Q207" i="2"/>
  <c r="R207" i="2"/>
  <c r="S207" i="2"/>
  <c r="N208" i="2"/>
  <c r="O208" i="2"/>
  <c r="P208" i="2"/>
  <c r="Q208" i="2"/>
  <c r="R208" i="2"/>
  <c r="S208" i="2"/>
  <c r="N209" i="2"/>
  <c r="O209" i="2"/>
  <c r="P209" i="2"/>
  <c r="Q209" i="2"/>
  <c r="R209" i="2"/>
  <c r="S209" i="2"/>
  <c r="N210" i="2"/>
  <c r="O210" i="2"/>
  <c r="P210" i="2"/>
  <c r="Q210" i="2"/>
  <c r="R210" i="2"/>
  <c r="S210" i="2"/>
  <c r="N211" i="2"/>
  <c r="O211" i="2"/>
  <c r="P211" i="2"/>
  <c r="Q211" i="2"/>
  <c r="R211" i="2"/>
  <c r="S211" i="2"/>
  <c r="N212" i="2"/>
  <c r="O212" i="2"/>
  <c r="P212" i="2"/>
  <c r="Q212" i="2"/>
  <c r="R212" i="2"/>
  <c r="S212" i="2"/>
  <c r="N213" i="2"/>
  <c r="O213" i="2"/>
  <c r="P213" i="2"/>
  <c r="Q213" i="2"/>
  <c r="R213" i="2"/>
  <c r="S213" i="2"/>
  <c r="N214" i="2"/>
  <c r="O214" i="2"/>
  <c r="P214" i="2"/>
  <c r="Q214" i="2"/>
  <c r="R214" i="2"/>
  <c r="S214" i="2"/>
  <c r="N215" i="2"/>
  <c r="O215" i="2"/>
  <c r="P215" i="2"/>
  <c r="Q215" i="2"/>
  <c r="R215" i="2"/>
  <c r="S215" i="2"/>
  <c r="N216" i="2"/>
  <c r="O216" i="2"/>
  <c r="P216" i="2"/>
  <c r="Q216" i="2"/>
  <c r="R216" i="2"/>
  <c r="S216" i="2"/>
  <c r="N217" i="2"/>
  <c r="O217" i="2"/>
  <c r="P217" i="2"/>
  <c r="Q217" i="2"/>
  <c r="R217" i="2"/>
  <c r="S217" i="2"/>
  <c r="N218" i="2"/>
  <c r="O218" i="2"/>
  <c r="P218" i="2"/>
  <c r="Q218" i="2"/>
  <c r="R218" i="2"/>
  <c r="S218" i="2"/>
  <c r="N219" i="2"/>
  <c r="O219" i="2"/>
  <c r="P219" i="2"/>
  <c r="Q219" i="2"/>
  <c r="R219" i="2"/>
  <c r="S219" i="2"/>
  <c r="N220" i="2"/>
  <c r="O220" i="2"/>
  <c r="P220" i="2"/>
  <c r="Q220" i="2"/>
  <c r="R220" i="2"/>
  <c r="S220" i="2"/>
  <c r="N221" i="2"/>
  <c r="O221" i="2"/>
  <c r="P221" i="2"/>
  <c r="Q221" i="2"/>
  <c r="R221" i="2"/>
  <c r="S221" i="2"/>
  <c r="N222" i="2"/>
  <c r="O222" i="2"/>
  <c r="P222" i="2"/>
  <c r="Q222" i="2"/>
  <c r="R222" i="2"/>
  <c r="S222" i="2"/>
  <c r="N223" i="2"/>
  <c r="O223" i="2"/>
  <c r="P223" i="2"/>
  <c r="Q223" i="2"/>
  <c r="R223" i="2"/>
  <c r="S223" i="2"/>
  <c r="N224" i="2"/>
  <c r="O224" i="2"/>
  <c r="P224" i="2"/>
  <c r="Q224" i="2"/>
  <c r="R224" i="2"/>
  <c r="S224" i="2"/>
  <c r="N225" i="2"/>
  <c r="O225" i="2"/>
  <c r="P225" i="2"/>
  <c r="Q225" i="2"/>
  <c r="R225" i="2"/>
  <c r="S225" i="2"/>
  <c r="N226" i="2"/>
  <c r="O226" i="2"/>
  <c r="P226" i="2"/>
  <c r="Q226" i="2"/>
  <c r="R226" i="2"/>
  <c r="S226" i="2"/>
  <c r="N227" i="2"/>
  <c r="O227" i="2"/>
  <c r="P227" i="2"/>
  <c r="Q227" i="2"/>
  <c r="R227" i="2"/>
  <c r="S227" i="2"/>
  <c r="N228" i="2"/>
  <c r="O228" i="2"/>
  <c r="P228" i="2"/>
  <c r="Q228" i="2"/>
  <c r="R228" i="2"/>
  <c r="S228" i="2"/>
  <c r="N229" i="2"/>
  <c r="O229" i="2"/>
  <c r="P229" i="2"/>
  <c r="Q229" i="2"/>
  <c r="R229" i="2"/>
  <c r="S229" i="2"/>
  <c r="N230" i="2"/>
  <c r="O230" i="2"/>
  <c r="P230" i="2"/>
  <c r="Q230" i="2"/>
  <c r="R230" i="2"/>
  <c r="S230" i="2"/>
  <c r="N231" i="2"/>
  <c r="O231" i="2"/>
  <c r="P231" i="2"/>
  <c r="Q231" i="2"/>
  <c r="R231" i="2"/>
  <c r="S231" i="2"/>
  <c r="N232" i="2"/>
  <c r="O232" i="2"/>
  <c r="P232" i="2"/>
  <c r="Q232" i="2"/>
  <c r="R232" i="2"/>
  <c r="S232" i="2"/>
  <c r="N233" i="2"/>
  <c r="O233" i="2"/>
  <c r="P233" i="2"/>
  <c r="Q233" i="2"/>
  <c r="R233" i="2"/>
  <c r="S233" i="2"/>
  <c r="N234" i="2"/>
  <c r="O234" i="2"/>
  <c r="P234" i="2"/>
  <c r="Q234" i="2"/>
  <c r="R234" i="2"/>
  <c r="S234" i="2"/>
  <c r="N235" i="2"/>
  <c r="O235" i="2"/>
  <c r="P235" i="2"/>
  <c r="Q235" i="2"/>
  <c r="R235" i="2"/>
  <c r="S235" i="2"/>
  <c r="N236" i="2"/>
  <c r="O236" i="2"/>
  <c r="P236" i="2"/>
  <c r="Q236" i="2"/>
  <c r="R236" i="2"/>
  <c r="S236" i="2"/>
  <c r="N237" i="2"/>
  <c r="O237" i="2"/>
  <c r="P237" i="2"/>
  <c r="Q237" i="2"/>
  <c r="R237" i="2"/>
  <c r="S237" i="2"/>
  <c r="N238" i="2"/>
  <c r="O238" i="2"/>
  <c r="P238" i="2"/>
  <c r="Q238" i="2"/>
  <c r="R238" i="2"/>
  <c r="S238" i="2"/>
  <c r="N239" i="2"/>
  <c r="O239" i="2"/>
  <c r="P239" i="2"/>
  <c r="Q239" i="2"/>
  <c r="R239" i="2"/>
  <c r="S239" i="2"/>
  <c r="N240" i="2"/>
  <c r="O240" i="2"/>
  <c r="P240" i="2"/>
  <c r="Q240" i="2"/>
  <c r="R240" i="2"/>
  <c r="S240" i="2"/>
  <c r="N241" i="2"/>
  <c r="O241" i="2"/>
  <c r="P241" i="2"/>
  <c r="Q241" i="2"/>
  <c r="R241" i="2"/>
  <c r="S241" i="2"/>
  <c r="N242" i="2"/>
  <c r="O242" i="2"/>
  <c r="P242" i="2"/>
  <c r="Q242" i="2"/>
  <c r="R242" i="2"/>
  <c r="S242" i="2"/>
  <c r="N243" i="2"/>
  <c r="O243" i="2"/>
  <c r="P243" i="2"/>
  <c r="Q243" i="2"/>
  <c r="R243" i="2"/>
  <c r="S243" i="2"/>
  <c r="N244" i="2"/>
  <c r="O244" i="2"/>
  <c r="P244" i="2"/>
  <c r="Q244" i="2"/>
  <c r="R244" i="2"/>
  <c r="S244" i="2"/>
  <c r="N245" i="2"/>
  <c r="O245" i="2"/>
  <c r="P245" i="2"/>
  <c r="Q245" i="2"/>
  <c r="R245" i="2"/>
  <c r="S245" i="2"/>
  <c r="N246" i="2"/>
  <c r="O246" i="2"/>
  <c r="P246" i="2"/>
  <c r="Q246" i="2"/>
  <c r="R246" i="2"/>
  <c r="S246" i="2"/>
  <c r="N247" i="2"/>
  <c r="O247" i="2"/>
  <c r="P247" i="2"/>
  <c r="Q247" i="2"/>
  <c r="R247" i="2"/>
  <c r="S247" i="2"/>
  <c r="N248" i="2"/>
  <c r="O248" i="2"/>
  <c r="P248" i="2"/>
  <c r="Q248" i="2"/>
  <c r="R248" i="2"/>
  <c r="S248" i="2"/>
  <c r="N249" i="2"/>
  <c r="O249" i="2"/>
  <c r="P249" i="2"/>
  <c r="Q249" i="2"/>
  <c r="R249" i="2"/>
  <c r="S249" i="2"/>
  <c r="N250" i="2"/>
  <c r="O250" i="2"/>
  <c r="P250" i="2"/>
  <c r="Q250" i="2"/>
  <c r="R250" i="2"/>
  <c r="S250" i="2"/>
  <c r="N251" i="2"/>
  <c r="O251" i="2"/>
  <c r="P251" i="2"/>
  <c r="Q251" i="2"/>
  <c r="R251" i="2"/>
  <c r="S251" i="2"/>
  <c r="N252" i="2"/>
  <c r="O252" i="2"/>
  <c r="P252" i="2"/>
  <c r="Q252" i="2"/>
  <c r="R252" i="2"/>
  <c r="S252" i="2"/>
  <c r="N253" i="2"/>
  <c r="O253" i="2"/>
  <c r="P253" i="2"/>
  <c r="Q253" i="2"/>
  <c r="R253" i="2"/>
  <c r="S253" i="2"/>
  <c r="N254" i="2"/>
  <c r="O254" i="2"/>
  <c r="P254" i="2"/>
  <c r="Q254" i="2"/>
  <c r="R254" i="2"/>
  <c r="S254" i="2"/>
  <c r="N255" i="2"/>
  <c r="O255" i="2"/>
  <c r="P255" i="2"/>
  <c r="Q255" i="2"/>
  <c r="R255" i="2"/>
  <c r="S255" i="2"/>
  <c r="N256" i="2"/>
  <c r="O256" i="2"/>
  <c r="P256" i="2"/>
  <c r="Q256" i="2"/>
  <c r="R256" i="2"/>
  <c r="S256" i="2"/>
  <c r="N257" i="2"/>
  <c r="O257" i="2"/>
  <c r="P257" i="2"/>
  <c r="Q257" i="2"/>
  <c r="R257" i="2"/>
  <c r="S257" i="2"/>
  <c r="N258" i="2"/>
  <c r="O258" i="2"/>
  <c r="P258" i="2"/>
  <c r="Q258" i="2"/>
  <c r="R258" i="2"/>
  <c r="S258" i="2"/>
  <c r="N259" i="2"/>
  <c r="O259" i="2"/>
  <c r="P259" i="2"/>
  <c r="Q259" i="2"/>
  <c r="R259" i="2"/>
  <c r="S259" i="2"/>
  <c r="N260" i="2"/>
  <c r="O260" i="2"/>
  <c r="P260" i="2"/>
  <c r="Q260" i="2"/>
  <c r="R260" i="2"/>
  <c r="S260" i="2"/>
  <c r="N261" i="2"/>
  <c r="O261" i="2"/>
  <c r="P261" i="2"/>
  <c r="Q261" i="2"/>
  <c r="R261" i="2"/>
  <c r="S261" i="2"/>
  <c r="N262" i="2"/>
  <c r="O262" i="2"/>
  <c r="P262" i="2"/>
  <c r="Q262" i="2"/>
  <c r="R262" i="2"/>
  <c r="S262" i="2"/>
  <c r="N263" i="2"/>
  <c r="O263" i="2"/>
  <c r="P263" i="2"/>
  <c r="Q263" i="2"/>
  <c r="R263" i="2"/>
  <c r="S263" i="2"/>
  <c r="N264" i="2"/>
  <c r="O264" i="2"/>
  <c r="P264" i="2"/>
  <c r="Q264" i="2"/>
  <c r="R264" i="2"/>
  <c r="S264" i="2"/>
  <c r="N265" i="2"/>
  <c r="O265" i="2"/>
  <c r="P265" i="2"/>
  <c r="Q265" i="2"/>
  <c r="R265" i="2"/>
  <c r="S265" i="2"/>
  <c r="N266" i="2"/>
  <c r="O266" i="2"/>
  <c r="P266" i="2"/>
  <c r="Q266" i="2"/>
  <c r="R266" i="2"/>
  <c r="S266" i="2"/>
  <c r="N267" i="2"/>
  <c r="O267" i="2"/>
  <c r="P267" i="2"/>
  <c r="Q267" i="2"/>
  <c r="R267" i="2"/>
  <c r="S267" i="2"/>
  <c r="N268" i="2"/>
  <c r="O268" i="2"/>
  <c r="P268" i="2"/>
  <c r="Q268" i="2"/>
  <c r="R268" i="2"/>
  <c r="S268" i="2"/>
  <c r="N269" i="2"/>
  <c r="O269" i="2"/>
  <c r="P269" i="2"/>
  <c r="Q269" i="2"/>
  <c r="R269" i="2"/>
  <c r="S269" i="2"/>
  <c r="N270" i="2"/>
  <c r="O270" i="2"/>
  <c r="P270" i="2"/>
  <c r="Q270" i="2"/>
  <c r="R270" i="2"/>
  <c r="S270" i="2"/>
  <c r="N271" i="2"/>
  <c r="O271" i="2"/>
  <c r="P271" i="2"/>
  <c r="Q271" i="2"/>
  <c r="R271" i="2"/>
  <c r="S271" i="2"/>
  <c r="N272" i="2"/>
  <c r="O272" i="2"/>
  <c r="P272" i="2"/>
  <c r="Q272" i="2"/>
  <c r="R272" i="2"/>
  <c r="S272" i="2"/>
  <c r="N273" i="2"/>
  <c r="O273" i="2"/>
  <c r="P273" i="2"/>
  <c r="Q273" i="2"/>
  <c r="R273" i="2"/>
  <c r="S273" i="2"/>
  <c r="N274" i="2"/>
  <c r="O274" i="2"/>
  <c r="P274" i="2"/>
  <c r="Q274" i="2"/>
  <c r="R274" i="2"/>
  <c r="S274" i="2"/>
  <c r="N275" i="2"/>
  <c r="O275" i="2"/>
  <c r="P275" i="2"/>
  <c r="Q275" i="2"/>
  <c r="R275" i="2"/>
  <c r="S275" i="2"/>
  <c r="N276" i="2"/>
  <c r="O276" i="2"/>
  <c r="P276" i="2"/>
  <c r="Q276" i="2"/>
  <c r="R276" i="2"/>
  <c r="S276" i="2"/>
  <c r="N277" i="2"/>
  <c r="O277" i="2"/>
  <c r="P277" i="2"/>
  <c r="Q277" i="2"/>
  <c r="R277" i="2"/>
  <c r="S277" i="2"/>
  <c r="N278" i="2"/>
  <c r="O278" i="2"/>
  <c r="P278" i="2"/>
  <c r="Q278" i="2"/>
  <c r="R278" i="2"/>
  <c r="S278" i="2"/>
  <c r="N279" i="2"/>
  <c r="O279" i="2"/>
  <c r="P279" i="2"/>
  <c r="Q279" i="2"/>
  <c r="R279" i="2"/>
  <c r="S279" i="2"/>
  <c r="N280" i="2"/>
  <c r="O280" i="2"/>
  <c r="P280" i="2"/>
  <c r="Q280" i="2"/>
  <c r="R280" i="2"/>
  <c r="S280" i="2"/>
  <c r="N281" i="2"/>
  <c r="O281" i="2"/>
  <c r="P281" i="2"/>
  <c r="Q281" i="2"/>
  <c r="R281" i="2"/>
  <c r="S281" i="2"/>
  <c r="N282" i="2"/>
  <c r="O282" i="2"/>
  <c r="P282" i="2"/>
  <c r="Q282" i="2"/>
  <c r="R282" i="2"/>
  <c r="S282" i="2"/>
  <c r="N283" i="2"/>
  <c r="O283" i="2"/>
  <c r="P283" i="2"/>
  <c r="Q283" i="2"/>
  <c r="R283" i="2"/>
  <c r="S283" i="2"/>
  <c r="N284" i="2"/>
  <c r="O284" i="2"/>
  <c r="P284" i="2"/>
  <c r="Q284" i="2"/>
  <c r="R284" i="2"/>
  <c r="S284" i="2"/>
  <c r="N285" i="2"/>
  <c r="O285" i="2"/>
  <c r="P285" i="2"/>
  <c r="Q285" i="2"/>
  <c r="R285" i="2"/>
  <c r="S285" i="2"/>
  <c r="N286" i="2"/>
  <c r="O286" i="2"/>
  <c r="P286" i="2"/>
  <c r="Q286" i="2"/>
  <c r="R286" i="2"/>
  <c r="S286" i="2"/>
  <c r="N287" i="2"/>
  <c r="O287" i="2"/>
  <c r="P287" i="2"/>
  <c r="Q287" i="2"/>
  <c r="R287" i="2"/>
  <c r="S287" i="2"/>
  <c r="N288" i="2"/>
  <c r="O288" i="2"/>
  <c r="P288" i="2"/>
  <c r="Q288" i="2"/>
  <c r="R288" i="2"/>
  <c r="S288" i="2"/>
  <c r="N289" i="2"/>
  <c r="O289" i="2"/>
  <c r="P289" i="2"/>
  <c r="Q289" i="2"/>
  <c r="R289" i="2"/>
  <c r="S289" i="2"/>
  <c r="N290" i="2"/>
  <c r="O290" i="2"/>
  <c r="P290" i="2"/>
  <c r="Q290" i="2"/>
  <c r="R290" i="2"/>
  <c r="S290" i="2"/>
  <c r="N291" i="2"/>
  <c r="O291" i="2"/>
  <c r="P291" i="2"/>
  <c r="Q291" i="2"/>
  <c r="R291" i="2"/>
  <c r="S291" i="2"/>
  <c r="N292" i="2"/>
  <c r="O292" i="2"/>
  <c r="P292" i="2"/>
  <c r="Q292" i="2"/>
  <c r="R292" i="2"/>
  <c r="S292" i="2"/>
  <c r="N293" i="2"/>
  <c r="O293" i="2"/>
  <c r="P293" i="2"/>
  <c r="Q293" i="2"/>
  <c r="R293" i="2"/>
  <c r="S293" i="2"/>
  <c r="N294" i="2"/>
  <c r="O294" i="2"/>
  <c r="P294" i="2"/>
  <c r="Q294" i="2"/>
  <c r="R294" i="2"/>
  <c r="S294" i="2"/>
  <c r="N295" i="2"/>
  <c r="O295" i="2"/>
  <c r="P295" i="2"/>
  <c r="Q295" i="2"/>
  <c r="R295" i="2"/>
  <c r="S295" i="2"/>
  <c r="N296" i="2"/>
  <c r="O296" i="2"/>
  <c r="P296" i="2"/>
  <c r="Q296" i="2"/>
  <c r="R296" i="2"/>
  <c r="S296" i="2"/>
  <c r="N297" i="2"/>
  <c r="O297" i="2"/>
  <c r="P297" i="2"/>
  <c r="Q297" i="2"/>
  <c r="R297" i="2"/>
  <c r="S297" i="2"/>
  <c r="N298" i="2"/>
  <c r="O298" i="2"/>
  <c r="P298" i="2"/>
  <c r="Q298" i="2"/>
  <c r="R298" i="2"/>
  <c r="S298" i="2"/>
  <c r="N299" i="2"/>
  <c r="O299" i="2"/>
  <c r="P299" i="2"/>
  <c r="Q299" i="2"/>
  <c r="R299" i="2"/>
  <c r="S299" i="2"/>
  <c r="N300" i="2"/>
  <c r="O300" i="2"/>
  <c r="P300" i="2"/>
  <c r="Q300" i="2"/>
  <c r="R300" i="2"/>
  <c r="S300" i="2"/>
  <c r="N301" i="2"/>
  <c r="O301" i="2"/>
  <c r="P301" i="2"/>
  <c r="Q301" i="2"/>
  <c r="R301" i="2"/>
  <c r="S301" i="2"/>
  <c r="N302" i="2"/>
  <c r="O302" i="2"/>
  <c r="P302" i="2"/>
  <c r="Q302" i="2"/>
  <c r="R302" i="2"/>
  <c r="S302" i="2"/>
  <c r="N303" i="2"/>
  <c r="O303" i="2"/>
  <c r="P303" i="2"/>
  <c r="Q303" i="2"/>
  <c r="R303" i="2"/>
  <c r="S303" i="2"/>
  <c r="N304" i="2"/>
  <c r="O304" i="2"/>
  <c r="P304" i="2"/>
  <c r="Q304" i="2"/>
  <c r="R304" i="2"/>
  <c r="S304" i="2"/>
  <c r="N305" i="2"/>
  <c r="O305" i="2"/>
  <c r="P305" i="2"/>
  <c r="Q305" i="2"/>
  <c r="R305" i="2"/>
  <c r="S305" i="2"/>
  <c r="N306" i="2"/>
  <c r="O306" i="2"/>
  <c r="P306" i="2"/>
  <c r="Q306" i="2"/>
  <c r="R306" i="2"/>
  <c r="S306" i="2"/>
  <c r="N307" i="2"/>
  <c r="O307" i="2"/>
  <c r="P307" i="2"/>
  <c r="Q307" i="2"/>
  <c r="R307" i="2"/>
  <c r="S307" i="2"/>
  <c r="N308" i="2"/>
  <c r="O308" i="2"/>
  <c r="P308" i="2"/>
  <c r="Q308" i="2"/>
  <c r="R308" i="2"/>
  <c r="S308" i="2"/>
  <c r="N309" i="2"/>
  <c r="O309" i="2"/>
  <c r="P309" i="2"/>
  <c r="Q309" i="2"/>
  <c r="R309" i="2"/>
  <c r="S309" i="2"/>
  <c r="N310" i="2"/>
  <c r="O310" i="2"/>
  <c r="P310" i="2"/>
  <c r="Q310" i="2"/>
  <c r="R310" i="2"/>
  <c r="S310" i="2"/>
  <c r="N311" i="2"/>
  <c r="O311" i="2"/>
  <c r="P311" i="2"/>
  <c r="Q311" i="2"/>
  <c r="R311" i="2"/>
  <c r="S311" i="2"/>
  <c r="N312" i="2"/>
  <c r="O312" i="2"/>
  <c r="P312" i="2"/>
  <c r="Q312" i="2"/>
  <c r="R312" i="2"/>
  <c r="S312" i="2"/>
  <c r="N313" i="2"/>
  <c r="O313" i="2"/>
  <c r="P313" i="2"/>
  <c r="Q313" i="2"/>
  <c r="R313" i="2"/>
  <c r="S313" i="2"/>
  <c r="N314" i="2"/>
  <c r="O314" i="2"/>
  <c r="P314" i="2"/>
  <c r="Q314" i="2"/>
  <c r="R314" i="2"/>
  <c r="S314" i="2"/>
  <c r="N315" i="2"/>
  <c r="O315" i="2"/>
  <c r="P315" i="2"/>
  <c r="Q315" i="2"/>
  <c r="R315" i="2"/>
  <c r="S315" i="2"/>
  <c r="N316" i="2"/>
  <c r="O316" i="2"/>
  <c r="P316" i="2"/>
  <c r="Q316" i="2"/>
  <c r="R316" i="2"/>
  <c r="S316" i="2"/>
  <c r="N317" i="2"/>
  <c r="O317" i="2"/>
  <c r="P317" i="2"/>
  <c r="Q317" i="2"/>
  <c r="R317" i="2"/>
  <c r="S317" i="2"/>
  <c r="N318" i="2"/>
  <c r="O318" i="2"/>
  <c r="P318" i="2"/>
  <c r="Q318" i="2"/>
  <c r="R318" i="2"/>
  <c r="S318" i="2"/>
  <c r="N319" i="2"/>
  <c r="O319" i="2"/>
  <c r="P319" i="2"/>
  <c r="Q319" i="2"/>
  <c r="R319" i="2"/>
  <c r="S319" i="2"/>
  <c r="N320" i="2"/>
  <c r="O320" i="2"/>
  <c r="P320" i="2"/>
  <c r="Q320" i="2"/>
  <c r="R320" i="2"/>
  <c r="S320" i="2"/>
  <c r="N321" i="2"/>
  <c r="O321" i="2"/>
  <c r="P321" i="2"/>
  <c r="Q321" i="2"/>
  <c r="R321" i="2"/>
  <c r="S321" i="2"/>
  <c r="N322" i="2"/>
  <c r="O322" i="2"/>
  <c r="P322" i="2"/>
  <c r="Q322" i="2"/>
  <c r="R322" i="2"/>
  <c r="S322" i="2"/>
  <c r="N323" i="2"/>
  <c r="O323" i="2"/>
  <c r="P323" i="2"/>
  <c r="Q323" i="2"/>
  <c r="R323" i="2"/>
  <c r="S323" i="2"/>
  <c r="N324" i="2"/>
  <c r="O324" i="2"/>
  <c r="P324" i="2"/>
  <c r="Q324" i="2"/>
  <c r="R324" i="2"/>
  <c r="S324" i="2"/>
  <c r="N325" i="2"/>
  <c r="O325" i="2"/>
  <c r="P325" i="2"/>
  <c r="Q325" i="2"/>
  <c r="R325" i="2"/>
  <c r="S325" i="2"/>
  <c r="N326" i="2"/>
  <c r="O326" i="2"/>
  <c r="P326" i="2"/>
  <c r="Q326" i="2"/>
  <c r="R326" i="2"/>
  <c r="S326" i="2"/>
  <c r="N327" i="2"/>
  <c r="O327" i="2"/>
  <c r="P327" i="2"/>
  <c r="Q327" i="2"/>
  <c r="R327" i="2"/>
  <c r="S327" i="2"/>
  <c r="N328" i="2"/>
  <c r="O328" i="2"/>
  <c r="P328" i="2"/>
  <c r="Q328" i="2"/>
  <c r="R328" i="2"/>
  <c r="S328" i="2"/>
  <c r="N329" i="2"/>
  <c r="O329" i="2"/>
  <c r="P329" i="2"/>
  <c r="Q329" i="2"/>
  <c r="R329" i="2"/>
  <c r="S329" i="2"/>
  <c r="N330" i="2"/>
  <c r="O330" i="2"/>
  <c r="P330" i="2"/>
  <c r="Q330" i="2"/>
  <c r="R330" i="2"/>
  <c r="S330" i="2"/>
  <c r="N331" i="2"/>
  <c r="O331" i="2"/>
  <c r="P331" i="2"/>
  <c r="Q331" i="2"/>
  <c r="R331" i="2"/>
  <c r="S331" i="2"/>
  <c r="N332" i="2"/>
  <c r="O332" i="2"/>
  <c r="P332" i="2"/>
  <c r="Q332" i="2"/>
  <c r="R332" i="2"/>
  <c r="S332" i="2"/>
  <c r="N333" i="2"/>
  <c r="O333" i="2"/>
  <c r="P333" i="2"/>
  <c r="Q333" i="2"/>
  <c r="R333" i="2"/>
  <c r="S333" i="2"/>
  <c r="N334" i="2"/>
  <c r="O334" i="2"/>
  <c r="P334" i="2"/>
  <c r="Q334" i="2"/>
  <c r="R334" i="2"/>
  <c r="S334" i="2"/>
  <c r="N335" i="2"/>
  <c r="O335" i="2"/>
  <c r="P335" i="2"/>
  <c r="Q335" i="2"/>
  <c r="R335" i="2"/>
  <c r="S335" i="2"/>
  <c r="N336" i="2"/>
  <c r="O336" i="2"/>
  <c r="P336" i="2"/>
  <c r="Q336" i="2"/>
  <c r="R336" i="2"/>
  <c r="S336" i="2"/>
  <c r="N337" i="2"/>
  <c r="O337" i="2"/>
  <c r="P337" i="2"/>
  <c r="Q337" i="2"/>
  <c r="R337" i="2"/>
  <c r="S337" i="2"/>
  <c r="N338" i="2"/>
  <c r="O338" i="2"/>
  <c r="P338" i="2"/>
  <c r="Q338" i="2"/>
  <c r="R338" i="2"/>
  <c r="S338" i="2"/>
  <c r="N339" i="2"/>
  <c r="O339" i="2"/>
  <c r="P339" i="2"/>
  <c r="Q339" i="2"/>
  <c r="R339" i="2"/>
  <c r="S339" i="2"/>
  <c r="N340" i="2"/>
  <c r="O340" i="2"/>
  <c r="P340" i="2"/>
  <c r="Q340" i="2"/>
  <c r="R340" i="2"/>
  <c r="S340" i="2"/>
  <c r="N341" i="2"/>
  <c r="O341" i="2"/>
  <c r="P341" i="2"/>
  <c r="Q341" i="2"/>
  <c r="R341" i="2"/>
  <c r="S341" i="2"/>
  <c r="N342" i="2"/>
  <c r="O342" i="2"/>
  <c r="P342" i="2"/>
  <c r="Q342" i="2"/>
  <c r="R342" i="2"/>
  <c r="S342" i="2"/>
  <c r="N343" i="2"/>
  <c r="O343" i="2"/>
  <c r="P343" i="2"/>
  <c r="Q343" i="2"/>
  <c r="R343" i="2"/>
  <c r="S343" i="2"/>
  <c r="N344" i="2"/>
  <c r="O344" i="2"/>
  <c r="P344" i="2"/>
  <c r="Q344" i="2"/>
  <c r="R344" i="2"/>
  <c r="S344" i="2"/>
  <c r="N345" i="2"/>
  <c r="O345" i="2"/>
  <c r="P345" i="2"/>
  <c r="Q345" i="2"/>
  <c r="R345" i="2"/>
  <c r="S345" i="2"/>
  <c r="N346" i="2"/>
  <c r="O346" i="2"/>
  <c r="P346" i="2"/>
  <c r="Q346" i="2"/>
  <c r="R346" i="2"/>
  <c r="S346" i="2"/>
  <c r="N347" i="2"/>
  <c r="O347" i="2"/>
  <c r="P347" i="2"/>
  <c r="Q347" i="2"/>
  <c r="R347" i="2"/>
  <c r="S347" i="2"/>
  <c r="N348" i="2"/>
  <c r="O348" i="2"/>
  <c r="P348" i="2"/>
  <c r="Q348" i="2"/>
  <c r="R348" i="2"/>
  <c r="S348" i="2"/>
  <c r="N349" i="2"/>
  <c r="O349" i="2"/>
  <c r="P349" i="2"/>
  <c r="Q349" i="2"/>
  <c r="R349" i="2"/>
  <c r="S349" i="2"/>
  <c r="N350" i="2"/>
  <c r="O350" i="2"/>
  <c r="P350" i="2"/>
  <c r="Q350" i="2"/>
  <c r="R350" i="2"/>
  <c r="S350" i="2"/>
  <c r="N351" i="2"/>
  <c r="O351" i="2"/>
  <c r="P351" i="2"/>
  <c r="Q351" i="2"/>
  <c r="R351" i="2"/>
  <c r="S351" i="2"/>
  <c r="N352" i="2"/>
  <c r="O352" i="2"/>
  <c r="P352" i="2"/>
  <c r="Q352" i="2"/>
  <c r="R352" i="2"/>
  <c r="S352" i="2"/>
  <c r="N353" i="2"/>
  <c r="O353" i="2"/>
  <c r="P353" i="2"/>
  <c r="Q353" i="2"/>
  <c r="R353" i="2"/>
  <c r="S353" i="2"/>
  <c r="N354" i="2"/>
  <c r="O354" i="2"/>
  <c r="P354" i="2"/>
  <c r="Q354" i="2"/>
  <c r="R354" i="2"/>
  <c r="S354" i="2"/>
  <c r="N355" i="2"/>
  <c r="O355" i="2"/>
  <c r="P355" i="2"/>
  <c r="Q355" i="2"/>
  <c r="R355" i="2"/>
  <c r="S355" i="2"/>
  <c r="N356" i="2"/>
  <c r="O356" i="2"/>
  <c r="P356" i="2"/>
  <c r="Q356" i="2"/>
  <c r="R356" i="2"/>
  <c r="S356" i="2"/>
  <c r="N357" i="2"/>
  <c r="O357" i="2"/>
  <c r="P357" i="2"/>
  <c r="Q357" i="2"/>
  <c r="R357" i="2"/>
  <c r="S357" i="2"/>
  <c r="N358" i="2"/>
  <c r="O358" i="2"/>
  <c r="P358" i="2"/>
  <c r="Q358" i="2"/>
  <c r="R358" i="2"/>
  <c r="S358" i="2"/>
  <c r="N359" i="2"/>
  <c r="O359" i="2"/>
  <c r="P359" i="2"/>
  <c r="Q359" i="2"/>
  <c r="R359" i="2"/>
  <c r="S359" i="2"/>
  <c r="N360" i="2"/>
  <c r="O360" i="2"/>
  <c r="P360" i="2"/>
  <c r="Q360" i="2"/>
  <c r="R360" i="2"/>
  <c r="S360" i="2"/>
  <c r="N361" i="2"/>
  <c r="O361" i="2"/>
  <c r="P361" i="2"/>
  <c r="Q361" i="2"/>
  <c r="R361" i="2"/>
  <c r="S361" i="2"/>
  <c r="N362" i="2"/>
  <c r="O362" i="2"/>
  <c r="P362" i="2"/>
  <c r="Q362" i="2"/>
  <c r="R362" i="2"/>
  <c r="S362" i="2"/>
  <c r="N363" i="2"/>
  <c r="O363" i="2"/>
  <c r="P363" i="2"/>
  <c r="Q363" i="2"/>
  <c r="R363" i="2"/>
  <c r="S363" i="2"/>
  <c r="N364" i="2"/>
  <c r="O364" i="2"/>
  <c r="P364" i="2"/>
  <c r="Q364" i="2"/>
  <c r="R364" i="2"/>
  <c r="S364" i="2"/>
  <c r="N365" i="2"/>
  <c r="O365" i="2"/>
  <c r="P365" i="2"/>
  <c r="Q365" i="2"/>
  <c r="R365" i="2"/>
  <c r="S365" i="2"/>
  <c r="N366" i="2"/>
  <c r="O366" i="2"/>
  <c r="P366" i="2"/>
  <c r="Q366" i="2"/>
  <c r="R366" i="2"/>
  <c r="S366" i="2"/>
  <c r="N367" i="2"/>
  <c r="O367" i="2"/>
  <c r="P367" i="2"/>
  <c r="Q367" i="2"/>
  <c r="R367" i="2"/>
  <c r="S367" i="2"/>
  <c r="N368" i="2"/>
  <c r="O368" i="2"/>
  <c r="P368" i="2"/>
  <c r="Q368" i="2"/>
  <c r="R368" i="2"/>
  <c r="S368" i="2"/>
  <c r="N369" i="2"/>
  <c r="O369" i="2"/>
  <c r="P369" i="2"/>
  <c r="Q369" i="2"/>
  <c r="R369" i="2"/>
  <c r="S369" i="2"/>
  <c r="N370" i="2"/>
  <c r="O370" i="2"/>
  <c r="P370" i="2"/>
  <c r="Q370" i="2"/>
  <c r="R370" i="2"/>
  <c r="S370" i="2"/>
  <c r="N371" i="2"/>
  <c r="O371" i="2"/>
  <c r="P371" i="2"/>
  <c r="Q371" i="2"/>
  <c r="R371" i="2"/>
  <c r="S371" i="2"/>
  <c r="N372" i="2"/>
  <c r="O372" i="2"/>
  <c r="P372" i="2"/>
  <c r="Q372" i="2"/>
  <c r="R372" i="2"/>
  <c r="S372" i="2"/>
  <c r="N373" i="2"/>
  <c r="O373" i="2"/>
  <c r="P373" i="2"/>
  <c r="Q373" i="2"/>
  <c r="R373" i="2"/>
  <c r="S373" i="2"/>
  <c r="N374" i="2"/>
  <c r="O374" i="2"/>
  <c r="P374" i="2"/>
  <c r="Q374" i="2"/>
  <c r="R374" i="2"/>
  <c r="S374" i="2"/>
  <c r="N375" i="2"/>
  <c r="O375" i="2"/>
  <c r="P375" i="2"/>
  <c r="Q375" i="2"/>
  <c r="R375" i="2"/>
  <c r="S375" i="2"/>
  <c r="N376" i="2"/>
  <c r="O376" i="2"/>
  <c r="P376" i="2"/>
  <c r="Q376" i="2"/>
  <c r="R376" i="2"/>
  <c r="S376" i="2"/>
  <c r="N377" i="2"/>
  <c r="O377" i="2"/>
  <c r="P377" i="2"/>
  <c r="Q377" i="2"/>
  <c r="R377" i="2"/>
  <c r="S377" i="2"/>
  <c r="N378" i="2"/>
  <c r="O378" i="2"/>
  <c r="P378" i="2"/>
  <c r="Q378" i="2"/>
  <c r="R378" i="2"/>
  <c r="S378" i="2"/>
  <c r="N379" i="2"/>
  <c r="O379" i="2"/>
  <c r="P379" i="2"/>
  <c r="Q379" i="2"/>
  <c r="R379" i="2"/>
  <c r="S379" i="2"/>
  <c r="N380" i="2"/>
  <c r="O380" i="2"/>
  <c r="P380" i="2"/>
  <c r="Q380" i="2"/>
  <c r="R380" i="2"/>
  <c r="S380" i="2"/>
  <c r="N381" i="2"/>
  <c r="O381" i="2"/>
  <c r="P381" i="2"/>
  <c r="Q381" i="2"/>
  <c r="R381" i="2"/>
  <c r="S381" i="2"/>
  <c r="N382" i="2"/>
  <c r="O382" i="2"/>
  <c r="P382" i="2"/>
  <c r="Q382" i="2"/>
  <c r="R382" i="2"/>
  <c r="S382" i="2"/>
  <c r="N383" i="2"/>
  <c r="O383" i="2"/>
  <c r="P383" i="2"/>
  <c r="Q383" i="2"/>
  <c r="R383" i="2"/>
  <c r="S383" i="2"/>
  <c r="N384" i="2"/>
  <c r="O384" i="2"/>
  <c r="P384" i="2"/>
  <c r="Q384" i="2"/>
  <c r="R384" i="2"/>
  <c r="S384" i="2"/>
  <c r="N385" i="2"/>
  <c r="O385" i="2"/>
  <c r="P385" i="2"/>
  <c r="Q385" i="2"/>
  <c r="R385" i="2"/>
  <c r="S385" i="2"/>
  <c r="N386" i="2"/>
  <c r="O386" i="2"/>
  <c r="P386" i="2"/>
  <c r="Q386" i="2"/>
  <c r="R386" i="2"/>
  <c r="S386" i="2"/>
  <c r="N387" i="2"/>
  <c r="O387" i="2"/>
  <c r="P387" i="2"/>
  <c r="Q387" i="2"/>
  <c r="R387" i="2"/>
  <c r="S387" i="2"/>
  <c r="N388" i="2"/>
  <c r="O388" i="2"/>
  <c r="P388" i="2"/>
  <c r="Q388" i="2"/>
  <c r="R388" i="2"/>
  <c r="S388" i="2"/>
  <c r="N389" i="2"/>
  <c r="O389" i="2"/>
  <c r="P389" i="2"/>
  <c r="Q389" i="2"/>
  <c r="R389" i="2"/>
  <c r="S389" i="2"/>
  <c r="N390" i="2"/>
  <c r="O390" i="2"/>
  <c r="P390" i="2"/>
  <c r="Q390" i="2"/>
  <c r="R390" i="2"/>
  <c r="S390" i="2"/>
  <c r="N391" i="2"/>
  <c r="O391" i="2"/>
  <c r="P391" i="2"/>
  <c r="Q391" i="2"/>
  <c r="R391" i="2"/>
  <c r="S391" i="2"/>
  <c r="N392" i="2"/>
  <c r="O392" i="2"/>
  <c r="P392" i="2"/>
  <c r="Q392" i="2"/>
  <c r="R392" i="2"/>
  <c r="S392" i="2"/>
  <c r="N393" i="2"/>
  <c r="O393" i="2"/>
  <c r="P393" i="2"/>
  <c r="Q393" i="2"/>
  <c r="R393" i="2"/>
  <c r="S393" i="2"/>
  <c r="N394" i="2"/>
  <c r="O394" i="2"/>
  <c r="P394" i="2"/>
  <c r="Q394" i="2"/>
  <c r="R394" i="2"/>
  <c r="S394" i="2"/>
  <c r="N395" i="2"/>
  <c r="O395" i="2"/>
  <c r="P395" i="2"/>
  <c r="Q395" i="2"/>
  <c r="R395" i="2"/>
  <c r="S395" i="2"/>
  <c r="N396" i="2"/>
  <c r="O396" i="2"/>
  <c r="P396" i="2"/>
  <c r="Q396" i="2"/>
  <c r="R396" i="2"/>
  <c r="S396" i="2"/>
  <c r="N397" i="2"/>
  <c r="O397" i="2"/>
  <c r="P397" i="2"/>
  <c r="Q397" i="2"/>
  <c r="R397" i="2"/>
  <c r="S397" i="2"/>
  <c r="N398" i="2"/>
  <c r="O398" i="2"/>
  <c r="P398" i="2"/>
  <c r="Q398" i="2"/>
  <c r="R398" i="2"/>
  <c r="S398" i="2"/>
  <c r="N399" i="2"/>
  <c r="O399" i="2"/>
  <c r="P399" i="2"/>
  <c r="Q399" i="2"/>
  <c r="R399" i="2"/>
  <c r="S399" i="2"/>
  <c r="N400" i="2"/>
  <c r="O400" i="2"/>
  <c r="P400" i="2"/>
  <c r="Q400" i="2"/>
  <c r="R400" i="2"/>
  <c r="S400" i="2"/>
  <c r="N401" i="2"/>
  <c r="O401" i="2"/>
  <c r="P401" i="2"/>
  <c r="Q401" i="2"/>
  <c r="R401" i="2"/>
  <c r="S401" i="2"/>
  <c r="N402" i="2"/>
  <c r="O402" i="2"/>
  <c r="P402" i="2"/>
  <c r="Q402" i="2"/>
  <c r="R402" i="2"/>
  <c r="S402" i="2"/>
  <c r="N403" i="2"/>
  <c r="O403" i="2"/>
  <c r="P403" i="2"/>
  <c r="Q403" i="2"/>
  <c r="R403" i="2"/>
  <c r="S403" i="2"/>
  <c r="N404" i="2"/>
  <c r="O404" i="2"/>
  <c r="P404" i="2"/>
  <c r="Q404" i="2"/>
  <c r="R404" i="2"/>
  <c r="S404" i="2"/>
  <c r="N405" i="2"/>
  <c r="O405" i="2"/>
  <c r="P405" i="2"/>
  <c r="Q405" i="2"/>
  <c r="R405" i="2"/>
  <c r="S405" i="2"/>
  <c r="N406" i="2"/>
  <c r="O406" i="2"/>
  <c r="P406" i="2"/>
  <c r="Q406" i="2"/>
  <c r="R406" i="2"/>
  <c r="S406" i="2"/>
  <c r="N407" i="2"/>
  <c r="O407" i="2"/>
  <c r="P407" i="2"/>
  <c r="Q407" i="2"/>
  <c r="R407" i="2"/>
  <c r="S407" i="2"/>
  <c r="N408" i="2"/>
  <c r="O408" i="2"/>
  <c r="P408" i="2"/>
  <c r="Q408" i="2"/>
  <c r="R408" i="2"/>
  <c r="S408" i="2"/>
  <c r="N409" i="2"/>
  <c r="O409" i="2"/>
  <c r="P409" i="2"/>
  <c r="Q409" i="2"/>
  <c r="R409" i="2"/>
  <c r="S409" i="2"/>
  <c r="N410" i="2"/>
  <c r="O410" i="2"/>
  <c r="P410" i="2"/>
  <c r="Q410" i="2"/>
  <c r="R410" i="2"/>
  <c r="S410" i="2"/>
  <c r="N411" i="2"/>
  <c r="O411" i="2"/>
  <c r="P411" i="2"/>
  <c r="Q411" i="2"/>
  <c r="R411" i="2"/>
  <c r="S411" i="2"/>
  <c r="N412" i="2"/>
  <c r="O412" i="2"/>
  <c r="P412" i="2"/>
  <c r="Q412" i="2"/>
  <c r="R412" i="2"/>
  <c r="S412" i="2"/>
  <c r="N413" i="2"/>
  <c r="O413" i="2"/>
  <c r="P413" i="2"/>
  <c r="Q413" i="2"/>
  <c r="R413" i="2"/>
  <c r="S413" i="2"/>
  <c r="N414" i="2"/>
  <c r="O414" i="2"/>
  <c r="P414" i="2"/>
  <c r="Q414" i="2"/>
  <c r="R414" i="2"/>
  <c r="S414" i="2"/>
  <c r="N415" i="2"/>
  <c r="O415" i="2"/>
  <c r="P415" i="2"/>
  <c r="Q415" i="2"/>
  <c r="R415" i="2"/>
  <c r="S415" i="2"/>
  <c r="N416" i="2"/>
  <c r="O416" i="2"/>
  <c r="P416" i="2"/>
  <c r="Q416" i="2"/>
  <c r="R416" i="2"/>
  <c r="S416" i="2"/>
  <c r="N417" i="2"/>
  <c r="O417" i="2"/>
  <c r="P417" i="2"/>
  <c r="Q417" i="2"/>
  <c r="R417" i="2"/>
  <c r="S417" i="2"/>
  <c r="N418" i="2"/>
  <c r="O418" i="2"/>
  <c r="P418" i="2"/>
  <c r="Q418" i="2"/>
  <c r="R418" i="2"/>
  <c r="S418" i="2"/>
  <c r="N419" i="2"/>
  <c r="O419" i="2"/>
  <c r="P419" i="2"/>
  <c r="Q419" i="2"/>
  <c r="R419" i="2"/>
  <c r="S419" i="2"/>
  <c r="N420" i="2"/>
  <c r="O420" i="2"/>
  <c r="P420" i="2"/>
  <c r="Q420" i="2"/>
  <c r="R420" i="2"/>
  <c r="S420" i="2"/>
  <c r="N421" i="2"/>
  <c r="O421" i="2"/>
  <c r="P421" i="2"/>
  <c r="Q421" i="2"/>
  <c r="R421" i="2"/>
  <c r="S421" i="2"/>
  <c r="N422" i="2"/>
  <c r="O422" i="2"/>
  <c r="P422" i="2"/>
  <c r="Q422" i="2"/>
  <c r="R422" i="2"/>
  <c r="S422" i="2"/>
  <c r="N423" i="2"/>
  <c r="O423" i="2"/>
  <c r="P423" i="2"/>
  <c r="Q423" i="2"/>
  <c r="R423" i="2"/>
  <c r="S423" i="2"/>
  <c r="N424" i="2"/>
  <c r="O424" i="2"/>
  <c r="P424" i="2"/>
  <c r="Q424" i="2"/>
  <c r="R424" i="2"/>
  <c r="S424" i="2"/>
  <c r="N425" i="2"/>
  <c r="O425" i="2"/>
  <c r="P425" i="2"/>
  <c r="Q425" i="2"/>
  <c r="R425" i="2"/>
  <c r="S425" i="2"/>
  <c r="N426" i="2"/>
  <c r="O426" i="2"/>
  <c r="P426" i="2"/>
  <c r="Q426" i="2"/>
  <c r="R426" i="2"/>
  <c r="S426" i="2"/>
  <c r="N427" i="2"/>
  <c r="O427" i="2"/>
  <c r="P427" i="2"/>
  <c r="Q427" i="2"/>
  <c r="R427" i="2"/>
  <c r="S427" i="2"/>
  <c r="N428" i="2"/>
  <c r="O428" i="2"/>
  <c r="P428" i="2"/>
  <c r="Q428" i="2"/>
  <c r="R428" i="2"/>
  <c r="S428" i="2"/>
  <c r="N429" i="2"/>
  <c r="O429" i="2"/>
  <c r="P429" i="2"/>
  <c r="Q429" i="2"/>
  <c r="R429" i="2"/>
  <c r="S429" i="2"/>
  <c r="N430" i="2"/>
  <c r="O430" i="2"/>
  <c r="P430" i="2"/>
  <c r="Q430" i="2"/>
  <c r="R430" i="2"/>
  <c r="S430" i="2"/>
  <c r="N431" i="2"/>
  <c r="O431" i="2"/>
  <c r="P431" i="2"/>
  <c r="Q431" i="2"/>
  <c r="R431" i="2"/>
  <c r="S431" i="2"/>
  <c r="N432" i="2"/>
  <c r="O432" i="2"/>
  <c r="P432" i="2"/>
  <c r="Q432" i="2"/>
  <c r="R432" i="2"/>
  <c r="S432" i="2"/>
  <c r="N433" i="2"/>
  <c r="O433" i="2"/>
  <c r="P433" i="2"/>
  <c r="Q433" i="2"/>
  <c r="R433" i="2"/>
  <c r="S433" i="2"/>
  <c r="N434" i="2"/>
  <c r="O434" i="2"/>
  <c r="P434" i="2"/>
  <c r="Q434" i="2"/>
  <c r="R434" i="2"/>
  <c r="S434" i="2"/>
  <c r="N435" i="2"/>
  <c r="O435" i="2"/>
  <c r="P435" i="2"/>
  <c r="Q435" i="2"/>
  <c r="R435" i="2"/>
  <c r="S435" i="2"/>
  <c r="N436" i="2"/>
  <c r="O436" i="2"/>
  <c r="P436" i="2"/>
  <c r="Q436" i="2"/>
  <c r="R436" i="2"/>
  <c r="S436" i="2"/>
  <c r="N437" i="2"/>
  <c r="O437" i="2"/>
  <c r="P437" i="2"/>
  <c r="Q437" i="2"/>
  <c r="R437" i="2"/>
  <c r="S437" i="2"/>
  <c r="N438" i="2"/>
  <c r="O438" i="2"/>
  <c r="P438" i="2"/>
  <c r="Q438" i="2"/>
  <c r="R438" i="2"/>
  <c r="S438" i="2"/>
  <c r="N439" i="2"/>
  <c r="O439" i="2"/>
  <c r="P439" i="2"/>
  <c r="Q439" i="2"/>
  <c r="R439" i="2"/>
  <c r="S439" i="2"/>
  <c r="N440" i="2"/>
  <c r="O440" i="2"/>
  <c r="P440" i="2"/>
  <c r="Q440" i="2"/>
  <c r="R440" i="2"/>
  <c r="S440" i="2"/>
  <c r="N441" i="2"/>
  <c r="O441" i="2"/>
  <c r="P441" i="2"/>
  <c r="Q441" i="2"/>
  <c r="R441" i="2"/>
  <c r="S441" i="2"/>
  <c r="N442" i="2"/>
  <c r="O442" i="2"/>
  <c r="P442" i="2"/>
  <c r="Q442" i="2"/>
  <c r="R442" i="2"/>
  <c r="S442" i="2"/>
  <c r="N443" i="2"/>
  <c r="O443" i="2"/>
  <c r="P443" i="2"/>
  <c r="Q443" i="2"/>
  <c r="R443" i="2"/>
  <c r="S443" i="2"/>
  <c r="N444" i="2"/>
  <c r="O444" i="2"/>
  <c r="P444" i="2"/>
  <c r="Q444" i="2"/>
  <c r="R444" i="2"/>
  <c r="S444" i="2"/>
  <c r="N445" i="2"/>
  <c r="O445" i="2"/>
  <c r="P445" i="2"/>
  <c r="Q445" i="2"/>
  <c r="R445" i="2"/>
  <c r="S445" i="2"/>
  <c r="N446" i="2"/>
  <c r="O446" i="2"/>
  <c r="P446" i="2"/>
  <c r="Q446" i="2"/>
  <c r="R446" i="2"/>
  <c r="S446" i="2"/>
  <c r="N447" i="2"/>
  <c r="O447" i="2"/>
  <c r="P447" i="2"/>
  <c r="Q447" i="2"/>
  <c r="R447" i="2"/>
  <c r="S447" i="2"/>
  <c r="N448" i="2"/>
  <c r="O448" i="2"/>
  <c r="P448" i="2"/>
  <c r="Q448" i="2"/>
  <c r="R448" i="2"/>
  <c r="S448" i="2"/>
  <c r="N449" i="2"/>
  <c r="O449" i="2"/>
  <c r="P449" i="2"/>
  <c r="Q449" i="2"/>
  <c r="R449" i="2"/>
  <c r="S449" i="2"/>
  <c r="N450" i="2"/>
  <c r="O450" i="2"/>
  <c r="P450" i="2"/>
  <c r="Q450" i="2"/>
  <c r="R450" i="2"/>
  <c r="S450" i="2"/>
  <c r="N451" i="2"/>
  <c r="O451" i="2"/>
  <c r="P451" i="2"/>
  <c r="Q451" i="2"/>
  <c r="R451" i="2"/>
  <c r="S451" i="2"/>
  <c r="N452" i="2"/>
  <c r="O452" i="2"/>
  <c r="P452" i="2"/>
  <c r="Q452" i="2"/>
  <c r="R452" i="2"/>
  <c r="S452" i="2"/>
  <c r="N453" i="2"/>
  <c r="O453" i="2"/>
  <c r="P453" i="2"/>
  <c r="Q453" i="2"/>
  <c r="R453" i="2"/>
  <c r="S453" i="2"/>
  <c r="N454" i="2"/>
  <c r="O454" i="2"/>
  <c r="P454" i="2"/>
  <c r="Q454" i="2"/>
  <c r="R454" i="2"/>
  <c r="S454" i="2"/>
  <c r="N455" i="2"/>
  <c r="O455" i="2"/>
  <c r="P455" i="2"/>
  <c r="Q455" i="2"/>
  <c r="R455" i="2"/>
  <c r="S455" i="2"/>
  <c r="N456" i="2"/>
  <c r="O456" i="2"/>
  <c r="P456" i="2"/>
  <c r="Q456" i="2"/>
  <c r="R456" i="2"/>
  <c r="S456" i="2"/>
  <c r="N457" i="2"/>
  <c r="O457" i="2"/>
  <c r="P457" i="2"/>
  <c r="Q457" i="2"/>
  <c r="R457" i="2"/>
  <c r="S457" i="2"/>
  <c r="N458" i="2"/>
  <c r="O458" i="2"/>
  <c r="P458" i="2"/>
  <c r="Q458" i="2"/>
  <c r="R458" i="2"/>
  <c r="S458" i="2"/>
  <c r="N459" i="2"/>
  <c r="O459" i="2"/>
  <c r="P459" i="2"/>
  <c r="Q459" i="2"/>
  <c r="R459" i="2"/>
  <c r="S459" i="2"/>
  <c r="N460" i="2"/>
  <c r="O460" i="2"/>
  <c r="P460" i="2"/>
  <c r="Q460" i="2"/>
  <c r="R460" i="2"/>
  <c r="S460" i="2"/>
  <c r="N461" i="2"/>
  <c r="O461" i="2"/>
  <c r="P461" i="2"/>
  <c r="Q461" i="2"/>
  <c r="R461" i="2"/>
  <c r="S461" i="2"/>
  <c r="N462" i="2"/>
  <c r="O462" i="2"/>
  <c r="P462" i="2"/>
  <c r="Q462" i="2"/>
  <c r="R462" i="2"/>
  <c r="S462" i="2"/>
  <c r="N463" i="2"/>
  <c r="O463" i="2"/>
  <c r="P463" i="2"/>
  <c r="Q463" i="2"/>
  <c r="R463" i="2"/>
  <c r="S463" i="2"/>
  <c r="N464" i="2"/>
  <c r="O464" i="2"/>
  <c r="P464" i="2"/>
  <c r="Q464" i="2"/>
  <c r="R464" i="2"/>
  <c r="S464" i="2"/>
  <c r="N465" i="2"/>
  <c r="O465" i="2"/>
  <c r="P465" i="2"/>
  <c r="Q465" i="2"/>
  <c r="R465" i="2"/>
  <c r="S465" i="2"/>
  <c r="N466" i="2"/>
  <c r="O466" i="2"/>
  <c r="P466" i="2"/>
  <c r="Q466" i="2"/>
  <c r="R466" i="2"/>
  <c r="S466" i="2"/>
  <c r="N467" i="2"/>
  <c r="O467" i="2"/>
  <c r="P467" i="2"/>
  <c r="Q467" i="2"/>
  <c r="R467" i="2"/>
  <c r="S467" i="2"/>
  <c r="N468" i="2"/>
  <c r="O468" i="2"/>
  <c r="P468" i="2"/>
  <c r="Q468" i="2"/>
  <c r="R468" i="2"/>
  <c r="S468" i="2"/>
  <c r="N469" i="2"/>
  <c r="O469" i="2"/>
  <c r="P469" i="2"/>
  <c r="Q469" i="2"/>
  <c r="R469" i="2"/>
  <c r="S469" i="2"/>
  <c r="N470" i="2"/>
  <c r="O470" i="2"/>
  <c r="P470" i="2"/>
  <c r="Q470" i="2"/>
  <c r="R470" i="2"/>
  <c r="S470" i="2"/>
  <c r="N471" i="2"/>
  <c r="O471" i="2"/>
  <c r="P471" i="2"/>
  <c r="Q471" i="2"/>
  <c r="R471" i="2"/>
  <c r="S471" i="2"/>
  <c r="N472" i="2"/>
  <c r="O472" i="2"/>
  <c r="P472" i="2"/>
  <c r="Q472" i="2"/>
  <c r="R472" i="2"/>
  <c r="S472" i="2"/>
  <c r="N473" i="2"/>
  <c r="O473" i="2"/>
  <c r="P473" i="2"/>
  <c r="Q473" i="2"/>
  <c r="R473" i="2"/>
  <c r="S473" i="2"/>
  <c r="N474" i="2"/>
  <c r="O474" i="2"/>
  <c r="P474" i="2"/>
  <c r="Q474" i="2"/>
  <c r="R474" i="2"/>
  <c r="S474" i="2"/>
  <c r="N475" i="2"/>
  <c r="O475" i="2"/>
  <c r="P475" i="2"/>
  <c r="Q475" i="2"/>
  <c r="R475" i="2"/>
  <c r="S475" i="2"/>
  <c r="N476" i="2"/>
  <c r="O476" i="2"/>
  <c r="P476" i="2"/>
  <c r="Q476" i="2"/>
  <c r="R476" i="2"/>
  <c r="S476" i="2"/>
  <c r="N477" i="2"/>
  <c r="O477" i="2"/>
  <c r="P477" i="2"/>
  <c r="Q477" i="2"/>
  <c r="R477" i="2"/>
  <c r="S477" i="2"/>
  <c r="N478" i="2"/>
  <c r="O478" i="2"/>
  <c r="P478" i="2"/>
  <c r="Q478" i="2"/>
  <c r="R478" i="2"/>
  <c r="S478" i="2"/>
  <c r="N479" i="2"/>
  <c r="O479" i="2"/>
  <c r="P479" i="2"/>
  <c r="Q479" i="2"/>
  <c r="R479" i="2"/>
  <c r="S479" i="2"/>
  <c r="N480" i="2"/>
  <c r="O480" i="2"/>
  <c r="P480" i="2"/>
  <c r="Q480" i="2"/>
  <c r="R480" i="2"/>
  <c r="S480" i="2"/>
  <c r="N481" i="2"/>
  <c r="O481" i="2"/>
  <c r="P481" i="2"/>
  <c r="Q481" i="2"/>
  <c r="R481" i="2"/>
  <c r="S481" i="2"/>
  <c r="N482" i="2"/>
  <c r="O482" i="2"/>
  <c r="P482" i="2"/>
  <c r="Q482" i="2"/>
  <c r="R482" i="2"/>
  <c r="S482" i="2"/>
  <c r="N483" i="2"/>
  <c r="O483" i="2"/>
  <c r="P483" i="2"/>
  <c r="Q483" i="2"/>
  <c r="R483" i="2"/>
  <c r="S483" i="2"/>
  <c r="N484" i="2"/>
  <c r="O484" i="2"/>
  <c r="P484" i="2"/>
  <c r="Q484" i="2"/>
  <c r="R484" i="2"/>
  <c r="S484" i="2"/>
  <c r="N485" i="2"/>
  <c r="O485" i="2"/>
  <c r="P485" i="2"/>
  <c r="Q485" i="2"/>
  <c r="R485" i="2"/>
  <c r="S485" i="2"/>
  <c r="N486" i="2"/>
  <c r="O486" i="2"/>
  <c r="P486" i="2"/>
  <c r="Q486" i="2"/>
  <c r="R486" i="2"/>
  <c r="S486" i="2"/>
  <c r="N487" i="2"/>
  <c r="O487" i="2"/>
  <c r="P487" i="2"/>
  <c r="Q487" i="2"/>
  <c r="R487" i="2"/>
  <c r="S487" i="2"/>
  <c r="N488" i="2"/>
  <c r="O488" i="2"/>
  <c r="P488" i="2"/>
  <c r="Q488" i="2"/>
  <c r="R488" i="2"/>
  <c r="S488" i="2"/>
  <c r="N489" i="2"/>
  <c r="O489" i="2"/>
  <c r="P489" i="2"/>
  <c r="Q489" i="2"/>
  <c r="R489" i="2"/>
  <c r="S489" i="2"/>
  <c r="N490" i="2"/>
  <c r="O490" i="2"/>
  <c r="P490" i="2"/>
  <c r="Q490" i="2"/>
  <c r="R490" i="2"/>
  <c r="S490" i="2"/>
  <c r="N491" i="2"/>
  <c r="O491" i="2"/>
  <c r="P491" i="2"/>
  <c r="Q491" i="2"/>
  <c r="R491" i="2"/>
  <c r="S491" i="2"/>
  <c r="N492" i="2"/>
  <c r="O492" i="2"/>
  <c r="P492" i="2"/>
  <c r="Q492" i="2"/>
  <c r="R492" i="2"/>
  <c r="S492" i="2"/>
  <c r="N493" i="2"/>
  <c r="O493" i="2"/>
  <c r="P493" i="2"/>
  <c r="Q493" i="2"/>
  <c r="R493" i="2"/>
  <c r="S493" i="2"/>
  <c r="N494" i="2"/>
  <c r="O494" i="2"/>
  <c r="P494" i="2"/>
  <c r="Q494" i="2"/>
  <c r="R494" i="2"/>
  <c r="S494" i="2"/>
  <c r="N495" i="2"/>
  <c r="O495" i="2"/>
  <c r="P495" i="2"/>
  <c r="Q495" i="2"/>
  <c r="R495" i="2"/>
  <c r="S495" i="2"/>
  <c r="N496" i="2"/>
  <c r="O496" i="2"/>
  <c r="P496" i="2"/>
  <c r="Q496" i="2"/>
  <c r="R496" i="2"/>
  <c r="S496" i="2"/>
  <c r="N497" i="2"/>
  <c r="O497" i="2"/>
  <c r="P497" i="2"/>
  <c r="Q497" i="2"/>
  <c r="R497" i="2"/>
  <c r="S497" i="2"/>
  <c r="N498" i="2"/>
  <c r="O498" i="2"/>
  <c r="P498" i="2"/>
  <c r="Q498" i="2"/>
  <c r="R498" i="2"/>
  <c r="S498" i="2"/>
  <c r="N499" i="2"/>
  <c r="O499" i="2"/>
  <c r="P499" i="2"/>
  <c r="Q499" i="2"/>
  <c r="R499" i="2"/>
  <c r="S499" i="2"/>
  <c r="N500" i="2"/>
  <c r="O500" i="2"/>
  <c r="P500" i="2"/>
  <c r="Q500" i="2"/>
  <c r="R500" i="2"/>
  <c r="S500" i="2"/>
  <c r="N501" i="2"/>
  <c r="O501" i="2"/>
  <c r="P501" i="2"/>
  <c r="Q501" i="2"/>
  <c r="R501" i="2"/>
  <c r="S501" i="2"/>
  <c r="N502" i="2"/>
  <c r="O502" i="2"/>
  <c r="P502" i="2"/>
  <c r="Q502" i="2"/>
  <c r="R502" i="2"/>
  <c r="S502" i="2"/>
  <c r="N503" i="2"/>
  <c r="O503" i="2"/>
  <c r="P503" i="2"/>
  <c r="Q503" i="2"/>
  <c r="R503" i="2"/>
  <c r="S503" i="2"/>
  <c r="N504" i="2"/>
  <c r="O504" i="2"/>
  <c r="P504" i="2"/>
  <c r="Q504" i="2"/>
  <c r="R504" i="2"/>
  <c r="S504" i="2"/>
  <c r="N505" i="2"/>
  <c r="O505" i="2"/>
  <c r="P505" i="2"/>
  <c r="Q505" i="2"/>
  <c r="R505" i="2"/>
  <c r="S505" i="2"/>
  <c r="N506" i="2"/>
  <c r="O506" i="2"/>
  <c r="P506" i="2"/>
  <c r="Q506" i="2"/>
  <c r="R506" i="2"/>
  <c r="S506" i="2"/>
  <c r="N507" i="2"/>
  <c r="O507" i="2"/>
  <c r="P507" i="2"/>
  <c r="Q507" i="2"/>
  <c r="R507" i="2"/>
  <c r="S507" i="2"/>
  <c r="N508" i="2"/>
  <c r="O508" i="2"/>
  <c r="P508" i="2"/>
  <c r="Q508" i="2"/>
  <c r="R508" i="2"/>
  <c r="S508" i="2"/>
  <c r="N509" i="2"/>
  <c r="O509" i="2"/>
  <c r="P509" i="2"/>
  <c r="Q509" i="2"/>
  <c r="R509" i="2"/>
  <c r="S509" i="2"/>
  <c r="N510" i="2"/>
  <c r="O510" i="2"/>
  <c r="P510" i="2"/>
  <c r="Q510" i="2"/>
  <c r="R510" i="2"/>
  <c r="S510" i="2"/>
  <c r="N511" i="2"/>
  <c r="O511" i="2"/>
  <c r="P511" i="2"/>
  <c r="Q511" i="2"/>
  <c r="R511" i="2"/>
  <c r="S511" i="2"/>
  <c r="N512" i="2"/>
  <c r="O512" i="2"/>
  <c r="P512" i="2"/>
  <c r="Q512" i="2"/>
  <c r="R512" i="2"/>
  <c r="S512" i="2"/>
  <c r="N513" i="2"/>
  <c r="O513" i="2"/>
  <c r="P513" i="2"/>
  <c r="Q513" i="2"/>
  <c r="R513" i="2"/>
  <c r="S513" i="2"/>
  <c r="N514" i="2"/>
  <c r="O514" i="2"/>
  <c r="P514" i="2"/>
  <c r="Q514" i="2"/>
  <c r="R514" i="2"/>
  <c r="S514" i="2"/>
  <c r="N515" i="2"/>
  <c r="O515" i="2"/>
  <c r="P515" i="2"/>
  <c r="Q515" i="2"/>
  <c r="R515" i="2"/>
  <c r="S515" i="2"/>
  <c r="N516" i="2"/>
  <c r="O516" i="2"/>
  <c r="P516" i="2"/>
  <c r="Q516" i="2"/>
  <c r="R516" i="2"/>
  <c r="S516" i="2"/>
  <c r="N517" i="2"/>
  <c r="O517" i="2"/>
  <c r="P517" i="2"/>
  <c r="Q517" i="2"/>
  <c r="R517" i="2"/>
  <c r="S517" i="2"/>
  <c r="N518" i="2"/>
  <c r="O518" i="2"/>
  <c r="P518" i="2"/>
  <c r="Q518" i="2"/>
  <c r="R518" i="2"/>
  <c r="S518" i="2"/>
  <c r="N519" i="2"/>
  <c r="O519" i="2"/>
  <c r="P519" i="2"/>
  <c r="Q519" i="2"/>
  <c r="R519" i="2"/>
  <c r="S519" i="2"/>
  <c r="N520" i="2"/>
  <c r="O520" i="2"/>
  <c r="P520" i="2"/>
  <c r="Q520" i="2"/>
  <c r="R520" i="2"/>
  <c r="S520" i="2"/>
  <c r="N521" i="2"/>
  <c r="O521" i="2"/>
  <c r="P521" i="2"/>
  <c r="Q521" i="2"/>
  <c r="R521" i="2"/>
  <c r="S521" i="2"/>
  <c r="N522" i="2"/>
  <c r="O522" i="2"/>
  <c r="P522" i="2"/>
  <c r="Q522" i="2"/>
  <c r="R522" i="2"/>
  <c r="S522" i="2"/>
  <c r="N523" i="2"/>
  <c r="O523" i="2"/>
  <c r="P523" i="2"/>
  <c r="Q523" i="2"/>
  <c r="R523" i="2"/>
  <c r="S523" i="2"/>
  <c r="N524" i="2"/>
  <c r="O524" i="2"/>
  <c r="P524" i="2"/>
  <c r="Q524" i="2"/>
  <c r="R524" i="2"/>
  <c r="S524" i="2"/>
  <c r="N525" i="2"/>
  <c r="O525" i="2"/>
  <c r="P525" i="2"/>
  <c r="Q525" i="2"/>
  <c r="R525" i="2"/>
  <c r="S525" i="2"/>
  <c r="N526" i="2"/>
  <c r="O526" i="2"/>
  <c r="P526" i="2"/>
  <c r="Q526" i="2"/>
  <c r="R526" i="2"/>
  <c r="S526" i="2"/>
  <c r="N527" i="2"/>
  <c r="O527" i="2"/>
  <c r="P527" i="2"/>
  <c r="Q527" i="2"/>
  <c r="R527" i="2"/>
  <c r="S527" i="2"/>
  <c r="N528" i="2"/>
  <c r="O528" i="2"/>
  <c r="P528" i="2"/>
  <c r="Q528" i="2"/>
  <c r="R528" i="2"/>
  <c r="S528" i="2"/>
  <c r="N529" i="2"/>
  <c r="O529" i="2"/>
  <c r="P529" i="2"/>
  <c r="Q529" i="2"/>
  <c r="R529" i="2"/>
  <c r="S529" i="2"/>
  <c r="N530" i="2"/>
  <c r="O530" i="2"/>
  <c r="P530" i="2"/>
  <c r="Q530" i="2"/>
  <c r="R530" i="2"/>
  <c r="S530" i="2"/>
  <c r="N531" i="2"/>
  <c r="O531" i="2"/>
  <c r="P531" i="2"/>
  <c r="Q531" i="2"/>
  <c r="R531" i="2"/>
  <c r="S531" i="2"/>
  <c r="N532" i="2"/>
  <c r="O532" i="2"/>
  <c r="P532" i="2"/>
  <c r="Q532" i="2"/>
  <c r="R532" i="2"/>
  <c r="S532" i="2"/>
  <c r="N533" i="2"/>
  <c r="O533" i="2"/>
  <c r="P533" i="2"/>
  <c r="Q533" i="2"/>
  <c r="R533" i="2"/>
  <c r="S533" i="2"/>
  <c r="N534" i="2"/>
  <c r="O534" i="2"/>
  <c r="P534" i="2"/>
  <c r="Q534" i="2"/>
  <c r="R534" i="2"/>
  <c r="S534" i="2"/>
  <c r="N535" i="2"/>
  <c r="O535" i="2"/>
  <c r="P535" i="2"/>
  <c r="Q535" i="2"/>
  <c r="R535" i="2"/>
  <c r="S535" i="2"/>
  <c r="N536" i="2"/>
  <c r="O536" i="2"/>
  <c r="P536" i="2"/>
  <c r="Q536" i="2"/>
  <c r="R536" i="2"/>
  <c r="S536" i="2"/>
  <c r="N537" i="2"/>
  <c r="O537" i="2"/>
  <c r="P537" i="2"/>
  <c r="Q537" i="2"/>
  <c r="R537" i="2"/>
  <c r="S537" i="2"/>
  <c r="N538" i="2"/>
  <c r="O538" i="2"/>
  <c r="P538" i="2"/>
  <c r="Q538" i="2"/>
  <c r="R538" i="2"/>
  <c r="S538" i="2"/>
  <c r="N539" i="2"/>
  <c r="O539" i="2"/>
  <c r="P539" i="2"/>
  <c r="Q539" i="2"/>
  <c r="R539" i="2"/>
  <c r="S539" i="2"/>
  <c r="N540" i="2"/>
  <c r="O540" i="2"/>
  <c r="P540" i="2"/>
  <c r="Q540" i="2"/>
  <c r="R540" i="2"/>
  <c r="S540" i="2"/>
  <c r="N541" i="2"/>
  <c r="O541" i="2"/>
  <c r="P541" i="2"/>
  <c r="Q541" i="2"/>
  <c r="R541" i="2"/>
  <c r="S541" i="2"/>
  <c r="N542" i="2"/>
  <c r="O542" i="2"/>
  <c r="P542" i="2"/>
  <c r="Q542" i="2"/>
  <c r="R542" i="2"/>
  <c r="S542" i="2"/>
  <c r="N543" i="2"/>
  <c r="O543" i="2"/>
  <c r="P543" i="2"/>
  <c r="Q543" i="2"/>
  <c r="R543" i="2"/>
  <c r="S543" i="2"/>
  <c r="N544" i="2"/>
  <c r="O544" i="2"/>
  <c r="P544" i="2"/>
  <c r="Q544" i="2"/>
  <c r="R544" i="2"/>
  <c r="S544" i="2"/>
  <c r="N545" i="2"/>
  <c r="O545" i="2"/>
  <c r="P545" i="2"/>
  <c r="Q545" i="2"/>
  <c r="R545" i="2"/>
  <c r="S545" i="2"/>
  <c r="N546" i="2"/>
  <c r="O546" i="2"/>
  <c r="P546" i="2"/>
  <c r="Q546" i="2"/>
  <c r="R546" i="2"/>
  <c r="S546" i="2"/>
  <c r="N547" i="2"/>
  <c r="O547" i="2"/>
  <c r="P547" i="2"/>
  <c r="Q547" i="2"/>
  <c r="R547" i="2"/>
  <c r="S547" i="2"/>
  <c r="N548" i="2"/>
  <c r="O548" i="2"/>
  <c r="P548" i="2"/>
  <c r="Q548" i="2"/>
  <c r="R548" i="2"/>
  <c r="S548" i="2"/>
  <c r="N549" i="2"/>
  <c r="O549" i="2"/>
  <c r="P549" i="2"/>
  <c r="Q549" i="2"/>
  <c r="R549" i="2"/>
  <c r="S549" i="2"/>
  <c r="N550" i="2"/>
  <c r="O550" i="2"/>
  <c r="P550" i="2"/>
  <c r="Q550" i="2"/>
  <c r="R550" i="2"/>
  <c r="S550" i="2"/>
  <c r="N551" i="2"/>
  <c r="O551" i="2"/>
  <c r="P551" i="2"/>
  <c r="Q551" i="2"/>
  <c r="R551" i="2"/>
  <c r="S551" i="2"/>
  <c r="N552" i="2"/>
  <c r="O552" i="2"/>
  <c r="P552" i="2"/>
  <c r="Q552" i="2"/>
  <c r="R552" i="2"/>
  <c r="S552" i="2"/>
  <c r="N553" i="2"/>
  <c r="O553" i="2"/>
  <c r="P553" i="2"/>
  <c r="Q553" i="2"/>
  <c r="R553" i="2"/>
  <c r="S553" i="2"/>
  <c r="N554" i="2"/>
  <c r="O554" i="2"/>
  <c r="P554" i="2"/>
  <c r="Q554" i="2"/>
  <c r="R554" i="2"/>
  <c r="S554" i="2"/>
  <c r="N555" i="2"/>
  <c r="O555" i="2"/>
  <c r="P555" i="2"/>
  <c r="Q555" i="2"/>
  <c r="R555" i="2"/>
  <c r="S555" i="2"/>
  <c r="N556" i="2"/>
  <c r="O556" i="2"/>
  <c r="P556" i="2"/>
  <c r="Q556" i="2"/>
  <c r="R556" i="2"/>
  <c r="S556" i="2"/>
  <c r="N557" i="2"/>
  <c r="O557" i="2"/>
  <c r="P557" i="2"/>
  <c r="Q557" i="2"/>
  <c r="R557" i="2"/>
  <c r="S557" i="2"/>
  <c r="N558" i="2"/>
  <c r="O558" i="2"/>
  <c r="P558" i="2"/>
  <c r="Q558" i="2"/>
  <c r="R558" i="2"/>
  <c r="S558" i="2"/>
  <c r="N559" i="2"/>
  <c r="O559" i="2"/>
  <c r="P559" i="2"/>
  <c r="Q559" i="2"/>
  <c r="R559" i="2"/>
  <c r="S559" i="2"/>
  <c r="N560" i="2"/>
  <c r="O560" i="2"/>
  <c r="P560" i="2"/>
  <c r="Q560" i="2"/>
  <c r="R560" i="2"/>
  <c r="S560" i="2"/>
  <c r="N561" i="2"/>
  <c r="O561" i="2"/>
  <c r="P561" i="2"/>
  <c r="Q561" i="2"/>
  <c r="R561" i="2"/>
  <c r="S561" i="2"/>
  <c r="N562" i="2"/>
  <c r="O562" i="2"/>
  <c r="P562" i="2"/>
  <c r="Q562" i="2"/>
  <c r="R562" i="2"/>
  <c r="S562" i="2"/>
  <c r="N563" i="2"/>
  <c r="O563" i="2"/>
  <c r="P563" i="2"/>
  <c r="Q563" i="2"/>
  <c r="R563" i="2"/>
  <c r="S563" i="2"/>
  <c r="N564" i="2"/>
  <c r="O564" i="2"/>
  <c r="P564" i="2"/>
  <c r="Q564" i="2"/>
  <c r="R564" i="2"/>
  <c r="S564" i="2"/>
  <c r="N565" i="2"/>
  <c r="O565" i="2"/>
  <c r="P565" i="2"/>
  <c r="Q565" i="2"/>
  <c r="R565" i="2"/>
  <c r="S565" i="2"/>
  <c r="N566" i="2"/>
  <c r="O566" i="2"/>
  <c r="P566" i="2"/>
  <c r="Q566" i="2"/>
  <c r="R566" i="2"/>
  <c r="S566" i="2"/>
  <c r="N567" i="2"/>
  <c r="O567" i="2"/>
  <c r="P567" i="2"/>
  <c r="Q567" i="2"/>
  <c r="R567" i="2"/>
  <c r="S567" i="2"/>
  <c r="N568" i="2"/>
  <c r="O568" i="2"/>
  <c r="P568" i="2"/>
  <c r="Q568" i="2"/>
  <c r="R568" i="2"/>
  <c r="S568" i="2"/>
  <c r="N569" i="2"/>
  <c r="O569" i="2"/>
  <c r="P569" i="2"/>
  <c r="Q569" i="2"/>
  <c r="R569" i="2"/>
  <c r="S569" i="2"/>
  <c r="N570" i="2"/>
  <c r="O570" i="2"/>
  <c r="P570" i="2"/>
  <c r="Q570" i="2"/>
  <c r="R570" i="2"/>
  <c r="S570" i="2"/>
  <c r="N571" i="2"/>
  <c r="O571" i="2"/>
  <c r="P571" i="2"/>
  <c r="Q571" i="2"/>
  <c r="R571" i="2"/>
  <c r="S571" i="2"/>
  <c r="N572" i="2"/>
  <c r="O572" i="2"/>
  <c r="P572" i="2"/>
  <c r="Q572" i="2"/>
  <c r="R572" i="2"/>
  <c r="S572" i="2"/>
  <c r="N573" i="2"/>
  <c r="O573" i="2"/>
  <c r="P573" i="2"/>
  <c r="Q573" i="2"/>
  <c r="R573" i="2"/>
  <c r="S573" i="2"/>
  <c r="N574" i="2"/>
  <c r="O574" i="2"/>
  <c r="P574" i="2"/>
  <c r="Q574" i="2"/>
  <c r="R574" i="2"/>
  <c r="S574" i="2"/>
  <c r="N575" i="2"/>
  <c r="O575" i="2"/>
  <c r="P575" i="2"/>
  <c r="Q575" i="2"/>
  <c r="R575" i="2"/>
  <c r="S575" i="2"/>
  <c r="N576" i="2"/>
  <c r="O576" i="2"/>
  <c r="P576" i="2"/>
  <c r="Q576" i="2"/>
  <c r="R576" i="2"/>
  <c r="S576" i="2"/>
  <c r="N577" i="2"/>
  <c r="O577" i="2"/>
  <c r="P577" i="2"/>
  <c r="Q577" i="2"/>
  <c r="R577" i="2"/>
  <c r="S577" i="2"/>
  <c r="N578" i="2"/>
  <c r="O578" i="2"/>
  <c r="P578" i="2"/>
  <c r="Q578" i="2"/>
  <c r="R578" i="2"/>
  <c r="S578" i="2"/>
  <c r="N579" i="2"/>
  <c r="O579" i="2"/>
  <c r="P579" i="2"/>
  <c r="Q579" i="2"/>
  <c r="R579" i="2"/>
  <c r="S579" i="2"/>
  <c r="N580" i="2"/>
  <c r="O580" i="2"/>
  <c r="P580" i="2"/>
  <c r="Q580" i="2"/>
  <c r="R580" i="2"/>
  <c r="S580" i="2"/>
  <c r="N581" i="2"/>
  <c r="O581" i="2"/>
  <c r="P581" i="2"/>
  <c r="Q581" i="2"/>
  <c r="R581" i="2"/>
  <c r="S581" i="2"/>
  <c r="N582" i="2"/>
  <c r="O582" i="2"/>
  <c r="P582" i="2"/>
  <c r="Q582" i="2"/>
  <c r="R582" i="2"/>
  <c r="S582" i="2"/>
  <c r="N583" i="2"/>
  <c r="O583" i="2"/>
  <c r="P583" i="2"/>
  <c r="Q583" i="2"/>
  <c r="R583" i="2"/>
  <c r="S583" i="2"/>
  <c r="N584" i="2"/>
  <c r="O584" i="2"/>
  <c r="P584" i="2"/>
  <c r="Q584" i="2"/>
  <c r="R584" i="2"/>
  <c r="S584" i="2"/>
  <c r="N585" i="2"/>
  <c r="O585" i="2"/>
  <c r="P585" i="2"/>
  <c r="Q585" i="2"/>
  <c r="R585" i="2"/>
  <c r="S585" i="2"/>
  <c r="N586" i="2"/>
  <c r="O586" i="2"/>
  <c r="P586" i="2"/>
  <c r="Q586" i="2"/>
  <c r="R586" i="2"/>
  <c r="S586" i="2"/>
  <c r="N587" i="2"/>
  <c r="O587" i="2"/>
  <c r="P587" i="2"/>
  <c r="Q587" i="2"/>
  <c r="R587" i="2"/>
  <c r="S587" i="2"/>
  <c r="N588" i="2"/>
  <c r="O588" i="2"/>
  <c r="P588" i="2"/>
  <c r="Q588" i="2"/>
  <c r="R588" i="2"/>
  <c r="S588" i="2"/>
  <c r="N589" i="2"/>
  <c r="O589" i="2"/>
  <c r="P589" i="2"/>
  <c r="Q589" i="2"/>
  <c r="R589" i="2"/>
  <c r="S589" i="2"/>
  <c r="N590" i="2"/>
  <c r="O590" i="2"/>
  <c r="P590" i="2"/>
  <c r="Q590" i="2"/>
  <c r="R590" i="2"/>
  <c r="S590" i="2"/>
  <c r="N591" i="2"/>
  <c r="O591" i="2"/>
  <c r="P591" i="2"/>
  <c r="Q591" i="2"/>
  <c r="R591" i="2"/>
  <c r="S591" i="2"/>
  <c r="N592" i="2"/>
  <c r="O592" i="2"/>
  <c r="P592" i="2"/>
  <c r="Q592" i="2"/>
  <c r="R592" i="2"/>
  <c r="S592" i="2"/>
  <c r="N593" i="2"/>
  <c r="O593" i="2"/>
  <c r="P593" i="2"/>
  <c r="Q593" i="2"/>
  <c r="R593" i="2"/>
  <c r="S593" i="2"/>
  <c r="N594" i="2"/>
  <c r="O594" i="2"/>
  <c r="P594" i="2"/>
  <c r="Q594" i="2"/>
  <c r="R594" i="2"/>
  <c r="S594" i="2"/>
  <c r="N595" i="2"/>
  <c r="O595" i="2"/>
  <c r="P595" i="2"/>
  <c r="Q595" i="2"/>
  <c r="R595" i="2"/>
  <c r="S595" i="2"/>
  <c r="N596" i="2"/>
  <c r="O596" i="2"/>
  <c r="P596" i="2"/>
  <c r="Q596" i="2"/>
  <c r="R596" i="2"/>
  <c r="S596" i="2"/>
  <c r="N597" i="2"/>
  <c r="O597" i="2"/>
  <c r="P597" i="2"/>
  <c r="Q597" i="2"/>
  <c r="R597" i="2"/>
  <c r="S597" i="2"/>
  <c r="N598" i="2"/>
  <c r="O598" i="2"/>
  <c r="P598" i="2"/>
  <c r="Q598" i="2"/>
  <c r="R598" i="2"/>
  <c r="S598" i="2"/>
  <c r="N599" i="2"/>
  <c r="O599" i="2"/>
  <c r="P599" i="2"/>
  <c r="Q599" i="2"/>
  <c r="R599" i="2"/>
  <c r="S599" i="2"/>
  <c r="N600" i="2"/>
  <c r="O600" i="2"/>
  <c r="P600" i="2"/>
  <c r="Q600" i="2"/>
  <c r="R600" i="2"/>
  <c r="S600" i="2"/>
  <c r="N601" i="2"/>
  <c r="O601" i="2"/>
  <c r="P601" i="2"/>
  <c r="Q601" i="2"/>
  <c r="R601" i="2"/>
  <c r="S601" i="2"/>
  <c r="N602" i="2"/>
  <c r="O602" i="2"/>
  <c r="P602" i="2"/>
  <c r="Q602" i="2"/>
  <c r="R602" i="2"/>
  <c r="S602" i="2"/>
  <c r="N603" i="2"/>
  <c r="O603" i="2"/>
  <c r="P603" i="2"/>
  <c r="Q603" i="2"/>
  <c r="R603" i="2"/>
  <c r="S603" i="2"/>
  <c r="N604" i="2"/>
  <c r="O604" i="2"/>
  <c r="P604" i="2"/>
  <c r="Q604" i="2"/>
  <c r="R604" i="2"/>
  <c r="S604" i="2"/>
  <c r="N605" i="2"/>
  <c r="O605" i="2"/>
  <c r="P605" i="2"/>
  <c r="Q605" i="2"/>
  <c r="R605" i="2"/>
  <c r="S605" i="2"/>
  <c r="N606" i="2"/>
  <c r="O606" i="2"/>
  <c r="P606" i="2"/>
  <c r="Q606" i="2"/>
  <c r="R606" i="2"/>
  <c r="S606" i="2"/>
  <c r="N607" i="2"/>
  <c r="O607" i="2"/>
  <c r="P607" i="2"/>
  <c r="Q607" i="2"/>
  <c r="R607" i="2"/>
  <c r="S607" i="2"/>
  <c r="N608" i="2"/>
  <c r="O608" i="2"/>
  <c r="P608" i="2"/>
  <c r="Q608" i="2"/>
  <c r="R608" i="2"/>
  <c r="S608" i="2"/>
  <c r="N609" i="2"/>
  <c r="O609" i="2"/>
  <c r="P609" i="2"/>
  <c r="Q609" i="2"/>
  <c r="R609" i="2"/>
  <c r="S609" i="2"/>
  <c r="N610" i="2"/>
  <c r="O610" i="2"/>
  <c r="P610" i="2"/>
  <c r="Q610" i="2"/>
  <c r="R610" i="2"/>
  <c r="S610" i="2"/>
  <c r="N611" i="2"/>
  <c r="O611" i="2"/>
  <c r="P611" i="2"/>
  <c r="Q611" i="2"/>
  <c r="R611" i="2"/>
  <c r="S611" i="2"/>
  <c r="N612" i="2"/>
  <c r="O612" i="2"/>
  <c r="P612" i="2"/>
  <c r="Q612" i="2"/>
  <c r="R612" i="2"/>
  <c r="S612" i="2"/>
  <c r="N613" i="2"/>
  <c r="O613" i="2"/>
  <c r="P613" i="2"/>
  <c r="Q613" i="2"/>
  <c r="R613" i="2"/>
  <c r="S613" i="2"/>
  <c r="N614" i="2"/>
  <c r="O614" i="2"/>
  <c r="P614" i="2"/>
  <c r="Q614" i="2"/>
  <c r="R614" i="2"/>
  <c r="S614" i="2"/>
  <c r="N615" i="2"/>
  <c r="O615" i="2"/>
  <c r="P615" i="2"/>
  <c r="Q615" i="2"/>
  <c r="R615" i="2"/>
  <c r="S615" i="2"/>
  <c r="N616" i="2"/>
  <c r="O616" i="2"/>
  <c r="P616" i="2"/>
  <c r="Q616" i="2"/>
  <c r="R616" i="2"/>
  <c r="S616" i="2"/>
  <c r="N617" i="2"/>
  <c r="O617" i="2"/>
  <c r="P617" i="2"/>
  <c r="Q617" i="2"/>
  <c r="R617" i="2"/>
  <c r="S617" i="2"/>
  <c r="N618" i="2"/>
  <c r="O618" i="2"/>
  <c r="P618" i="2"/>
  <c r="Q618" i="2"/>
  <c r="R618" i="2"/>
  <c r="S618" i="2"/>
  <c r="N619" i="2"/>
  <c r="O619" i="2"/>
  <c r="P619" i="2"/>
  <c r="Q619" i="2"/>
  <c r="R619" i="2"/>
  <c r="S619" i="2"/>
  <c r="N620" i="2"/>
  <c r="O620" i="2"/>
  <c r="P620" i="2"/>
  <c r="Q620" i="2"/>
  <c r="R620" i="2"/>
  <c r="S620" i="2"/>
  <c r="N621" i="2"/>
  <c r="O621" i="2"/>
  <c r="P621" i="2"/>
  <c r="Q621" i="2"/>
  <c r="R621" i="2"/>
  <c r="S621" i="2"/>
  <c r="N622" i="2"/>
  <c r="O622" i="2"/>
  <c r="P622" i="2"/>
  <c r="Q622" i="2"/>
  <c r="R622" i="2"/>
  <c r="S622" i="2"/>
  <c r="N623" i="2"/>
  <c r="O623" i="2"/>
  <c r="P623" i="2"/>
  <c r="Q623" i="2"/>
  <c r="R623" i="2"/>
  <c r="S623" i="2"/>
  <c r="N624" i="2"/>
  <c r="O624" i="2"/>
  <c r="P624" i="2"/>
  <c r="Q624" i="2"/>
  <c r="R624" i="2"/>
  <c r="S624" i="2"/>
  <c r="N625" i="2"/>
  <c r="O625" i="2"/>
  <c r="P625" i="2"/>
  <c r="Q625" i="2"/>
  <c r="R625" i="2"/>
  <c r="S625" i="2"/>
  <c r="N626" i="2"/>
  <c r="O626" i="2"/>
  <c r="P626" i="2"/>
  <c r="Q626" i="2"/>
  <c r="R626" i="2"/>
  <c r="S626" i="2"/>
  <c r="N627" i="2"/>
  <c r="O627" i="2"/>
  <c r="P627" i="2"/>
  <c r="Q627" i="2"/>
  <c r="R627" i="2"/>
  <c r="S627" i="2"/>
  <c r="N628" i="2"/>
  <c r="O628" i="2"/>
  <c r="P628" i="2"/>
  <c r="Q628" i="2"/>
  <c r="R628" i="2"/>
  <c r="S628" i="2"/>
  <c r="N629" i="2"/>
  <c r="O629" i="2"/>
  <c r="P629" i="2"/>
  <c r="Q629" i="2"/>
  <c r="R629" i="2"/>
  <c r="S629" i="2"/>
  <c r="N630" i="2"/>
  <c r="O630" i="2"/>
  <c r="P630" i="2"/>
  <c r="Q630" i="2"/>
  <c r="R630" i="2"/>
  <c r="S630" i="2"/>
  <c r="N631" i="2"/>
  <c r="O631" i="2"/>
  <c r="P631" i="2"/>
  <c r="Q631" i="2"/>
  <c r="R631" i="2"/>
  <c r="S631" i="2"/>
  <c r="N632" i="2"/>
  <c r="O632" i="2"/>
  <c r="P632" i="2"/>
  <c r="Q632" i="2"/>
  <c r="R632" i="2"/>
  <c r="S632" i="2"/>
  <c r="N633" i="2"/>
  <c r="O633" i="2"/>
  <c r="P633" i="2"/>
  <c r="Q633" i="2"/>
  <c r="R633" i="2"/>
  <c r="S633" i="2"/>
  <c r="N634" i="2"/>
  <c r="O634" i="2"/>
  <c r="P634" i="2"/>
  <c r="Q634" i="2"/>
  <c r="R634" i="2"/>
  <c r="S634" i="2"/>
  <c r="N635" i="2"/>
  <c r="O635" i="2"/>
  <c r="P635" i="2"/>
  <c r="Q635" i="2"/>
  <c r="R635" i="2"/>
  <c r="S635" i="2"/>
  <c r="N636" i="2"/>
  <c r="O636" i="2"/>
  <c r="P636" i="2"/>
  <c r="Q636" i="2"/>
  <c r="R636" i="2"/>
  <c r="S636" i="2"/>
  <c r="N637" i="2"/>
  <c r="O637" i="2"/>
  <c r="P637" i="2"/>
  <c r="Q637" i="2"/>
  <c r="R637" i="2"/>
  <c r="S637" i="2"/>
  <c r="N638" i="2"/>
  <c r="O638" i="2"/>
  <c r="P638" i="2"/>
  <c r="Q638" i="2"/>
  <c r="R638" i="2"/>
  <c r="S638" i="2"/>
  <c r="N639" i="2"/>
  <c r="O639" i="2"/>
  <c r="P639" i="2"/>
  <c r="Q639" i="2"/>
  <c r="R639" i="2"/>
  <c r="S639" i="2"/>
  <c r="N640" i="2"/>
  <c r="O640" i="2"/>
  <c r="P640" i="2"/>
  <c r="Q640" i="2"/>
  <c r="R640" i="2"/>
  <c r="S640" i="2"/>
  <c r="N641" i="2"/>
  <c r="O641" i="2"/>
  <c r="P641" i="2"/>
  <c r="Q641" i="2"/>
  <c r="R641" i="2"/>
  <c r="S641" i="2"/>
  <c r="N642" i="2"/>
  <c r="O642" i="2"/>
  <c r="P642" i="2"/>
  <c r="Q642" i="2"/>
  <c r="R642" i="2"/>
  <c r="S642" i="2"/>
  <c r="N643" i="2"/>
  <c r="O643" i="2"/>
  <c r="P643" i="2"/>
  <c r="Q643" i="2"/>
  <c r="R643" i="2"/>
  <c r="S643" i="2"/>
  <c r="R2" i="2"/>
  <c r="Q2" i="2"/>
  <c r="P2" i="2"/>
  <c r="O2" i="2"/>
  <c r="N2" i="2"/>
  <c r="N644" i="2"/>
  <c r="N645" i="2"/>
  <c r="N646" i="2"/>
  <c r="N647" i="2"/>
  <c r="N648" i="2"/>
  <c r="N649" i="2"/>
</calcChain>
</file>

<file path=xl/sharedStrings.xml><?xml version="1.0" encoding="utf-8"?>
<sst xmlns="http://schemas.openxmlformats.org/spreadsheetml/2006/main" count="6448" uniqueCount="2196">
  <si>
    <t>Планирование доходов</t>
  </si>
  <si>
    <t>Выручка (товарооборот) с НДС</t>
  </si>
  <si>
    <t>согласованный план в разрезе ТО (один из планов ЭО, ОО, МО)</t>
  </si>
  <si>
    <t>НДС</t>
  </si>
  <si>
    <t>=Выручка (товарооборот) с НДС - Выручка (товарооборот) без НДС</t>
  </si>
  <si>
    <t>Выручка (товарооборот) без НДС</t>
  </si>
  <si>
    <t>2</t>
  </si>
  <si>
    <t>Покупная стоимость / Себестоимость</t>
  </si>
  <si>
    <t>=Выручка (товарооборот) без НДС - Валовый доход</t>
  </si>
  <si>
    <t>2.1.</t>
  </si>
  <si>
    <t>в т.ч.покупная стоимость СП</t>
  </si>
  <si>
    <t>не планируется</t>
  </si>
  <si>
    <t>2.2.</t>
  </si>
  <si>
    <t>Справочно: полученные скидки от поставщиков по акциям</t>
  </si>
  <si>
    <t>Валовый доход</t>
  </si>
  <si>
    <t>форма планирования, коммерческий отдел</t>
  </si>
  <si>
    <t>=Выручка (товарооборот) без НДС * %ВД</t>
  </si>
  <si>
    <t>%ВД планируется в коммерческом отделе
необходима отдельная форма планирования %ВД</t>
  </si>
  <si>
    <t>3.1</t>
  </si>
  <si>
    <t>уровень, %</t>
  </si>
  <si>
    <t>=Валовый доход / Выручка (товарооборот) без НДС</t>
  </si>
  <si>
    <t>Маркетинг, торговая премия от поставщиков, дохoд от размещения печатной продукции</t>
  </si>
  <si>
    <t>предоставляется сумма ИТОГО в разрезе месяц/год (коммерческий отдел)</t>
  </si>
  <si>
    <t>в виду отсутсвия согласованности ведения данных по поставщикам данную статью дохода будем грузить из csv</t>
  </si>
  <si>
    <t>4.1.</t>
  </si>
  <si>
    <t>=Маркетинг / Выручка (товарооборот) без НДС</t>
  </si>
  <si>
    <t>4.2.</t>
  </si>
  <si>
    <t>премии от бизнес-юнитов ГК "Санта", в т.ч.:</t>
  </si>
  <si>
    <t>=4.2.1.+4.2.2.+4.2.3.</t>
  </si>
  <si>
    <t>4.2.1.</t>
  </si>
  <si>
    <t>СП "Санта Импэкс Брест" ООО</t>
  </si>
  <si>
    <t>ежемесячно</t>
  </si>
  <si>
    <t>4.2.2.</t>
  </si>
  <si>
    <t>ОАО "Савушкин продукт"</t>
  </si>
  <si>
    <t>раз в квартал</t>
  </si>
  <si>
    <t>4.2.3.</t>
  </si>
  <si>
    <t>СП "Санта Бремор" ООО</t>
  </si>
  <si>
    <t>4.3.</t>
  </si>
  <si>
    <t>премии от сторонних поставщиков</t>
  </si>
  <si>
    <t>4.4.</t>
  </si>
  <si>
    <t>в т.ч. доходы от маркетинга, связанные с продажей товаров, полученные через рекламу, информационные и прочие услуги</t>
  </si>
  <si>
    <t>4.5.</t>
  </si>
  <si>
    <t>Справочно: потеря маркетинга, торговой премии от проводимых акций</t>
  </si>
  <si>
    <t xml:space="preserve">Прочие доходы </t>
  </si>
  <si>
    <t>5.1.</t>
  </si>
  <si>
    <t>разница в ценах (минусовой валовый доход)</t>
  </si>
  <si>
    <t>5.2.</t>
  </si>
  <si>
    <t>дооценка, уценка, округление</t>
  </si>
  <si>
    <t>Чистый валовый доход</t>
  </si>
  <si>
    <t>=Маркетинг(4) + ВД(3)</t>
  </si>
  <si>
    <t>6.1.</t>
  </si>
  <si>
    <t>=Чистый валовый доход / Выручка (товарооборот) без НДС</t>
  </si>
  <si>
    <t>Упр</t>
  </si>
  <si>
    <t>Доходы от маркетинга, рекламы, трейд-маркетинга итого</t>
  </si>
  <si>
    <t>Маркетинг</t>
  </si>
  <si>
    <t>37.1.</t>
  </si>
  <si>
    <t xml:space="preserve"> - маркетинг</t>
  </si>
  <si>
    <t>не используется</t>
  </si>
  <si>
    <t>37.2.</t>
  </si>
  <si>
    <t xml:space="preserve"> - реклама</t>
  </si>
  <si>
    <t>из файла Фин.отд.</t>
  </si>
  <si>
    <t>необходимо больше деталей, есть ли данные в исходных системах</t>
  </si>
  <si>
    <t>37.3.</t>
  </si>
  <si>
    <t xml:space="preserve"> - трейд-маркетинг (прямая компенсация)</t>
  </si>
  <si>
    <t xml:space="preserve">Прочие доходы от операционной деятельности </t>
  </si>
  <si>
    <t>41.1.</t>
  </si>
  <si>
    <t xml:space="preserve">доходы от аренды внешним арендаторам </t>
  </si>
  <si>
    <t>на основании факта (план)</t>
  </si>
  <si>
    <t>факт из 1С и корректировка курса (курс из КЦ)</t>
  </si>
  <si>
    <t>41.2.</t>
  </si>
  <si>
    <t xml:space="preserve">реализация прочих активов </t>
  </si>
  <si>
    <t>% показатель (план)</t>
  </si>
  <si>
    <t>41.3.</t>
  </si>
  <si>
    <t>реализация излишков электроэнергии (Рековиа)</t>
  </si>
  <si>
    <t>уточнить</t>
  </si>
  <si>
    <t>41.4.</t>
  </si>
  <si>
    <t>прочие</t>
  </si>
  <si>
    <t xml:space="preserve">Доходы по финансовой деятельности: </t>
  </si>
  <si>
    <t>44.1.</t>
  </si>
  <si>
    <t>% доходы по депозитам и займам</t>
  </si>
  <si>
    <t>при пересмотре бюджета на второе полугодие вносится факт</t>
  </si>
  <si>
    <t>44.2.</t>
  </si>
  <si>
    <t>положительные курсовые разницы</t>
  </si>
  <si>
    <t>44.3.</t>
  </si>
  <si>
    <t xml:space="preserve">результат от конверсионных операций </t>
  </si>
  <si>
    <t>44.4.</t>
  </si>
  <si>
    <t xml:space="preserve">результат от покупки/продажи валюты </t>
  </si>
  <si>
    <t>Жук Александр Леонидович</t>
  </si>
  <si>
    <t>44.5.</t>
  </si>
  <si>
    <t xml:space="preserve">Доходы по инвестиционной деятельности: </t>
  </si>
  <si>
    <t>47.1.</t>
  </si>
  <si>
    <t>дивиденды полученные</t>
  </si>
  <si>
    <t>47.2.</t>
  </si>
  <si>
    <t>доходы от выбытия ОС</t>
  </si>
  <si>
    <t>47.3.</t>
  </si>
  <si>
    <t xml:space="preserve">прочие </t>
  </si>
  <si>
    <t>47.3.1</t>
  </si>
  <si>
    <t>компенсация процентов по кредитам Виталюр</t>
  </si>
  <si>
    <t>Номер статьи</t>
  </si>
  <si>
    <t>Управленческий план счетов (наименование)</t>
  </si>
  <si>
    <t>1С бух. план счетов (наименование)</t>
  </si>
  <si>
    <t xml:space="preserve"> Код Субконто 1 </t>
  </si>
  <si>
    <t> Наименование Субконто 1</t>
  </si>
  <si>
    <t> Справочник Субконто 1 1С</t>
  </si>
  <si>
    <t> Справочник Субконто 2 1С</t>
  </si>
  <si>
    <t>Справочник субконто 3 1С</t>
  </si>
  <si>
    <t>Примечание Факт</t>
  </si>
  <si>
    <t>Примечание План</t>
  </si>
  <si>
    <t>Переменные затраты</t>
  </si>
  <si>
    <t>=заработная плата и отчисления (8) + брак (9) + транспортные расходы (10) + внешний мерчендайзинг (услуги) (11)</t>
  </si>
  <si>
    <t>7.1.</t>
  </si>
  <si>
    <t>= Переменные затраты / Выручка (товарооборот) без НДС</t>
  </si>
  <si>
    <t>уровень к ЧВД, %</t>
  </si>
  <si>
    <t>= Переменные затраты / Чистый валовый доход</t>
  </si>
  <si>
    <t>заработная плата и отчисления</t>
  </si>
  <si>
    <t>Торговые объекты</t>
  </si>
  <si>
    <t>= Зарплата переменная (8.1.) + налоги и начисления на зп (8.2.) + найм сотрудников со стороны (8.3)
планируется в разрезе организационной структуры (Торговые объекты, Хранение (склады), АУП)
Ответственный: Макаревич Наталья Александровна</t>
  </si>
  <si>
    <t>= заработная плата и отчисления / Выручка (товарооборот) без НДС</t>
  </si>
  <si>
    <t>= заработная плата и отчисления / Чистый валовый доход</t>
  </si>
  <si>
    <t>8.1.</t>
  </si>
  <si>
    <t>Зарплата переменная</t>
  </si>
  <si>
    <t>из файла Макаревич НА</t>
  </si>
  <si>
    <t>планируется в разрезе орг структуры с ФСЗН. Далее расчитывается ФСЗН (34,52%). Затем от общей суммы отнимается сумма ФСЗН</t>
  </si>
  <si>
    <t>8.1.1.</t>
  </si>
  <si>
    <t>Оплата труда</t>
  </si>
  <si>
    <t>44.2 / 44.3</t>
  </si>
  <si>
    <t>Расходы на реализацию в торговле / Управленческие расходы в торговле</t>
  </si>
  <si>
    <t>Элементы затрат</t>
  </si>
  <si>
    <t>Подразделения</t>
  </si>
  <si>
    <t>Виды затрат</t>
  </si>
  <si>
    <t>8.1.2.</t>
  </si>
  <si>
    <t>Материальная помощь</t>
  </si>
  <si>
    <t>90.10.1 / 90.10.11</t>
  </si>
  <si>
    <t>Прочие расходы по текущей деятельности / -||- (по местам хранения)</t>
  </si>
  <si>
    <t>Виды прочих расходов</t>
  </si>
  <si>
    <t>Места хранения</t>
  </si>
  <si>
    <t>8.1.3.</t>
  </si>
  <si>
    <t>Материальная помощь в связи со смертью</t>
  </si>
  <si>
    <t>8.2.</t>
  </si>
  <si>
    <t>налоги и начисления на з/плату</t>
  </si>
  <si>
    <t>8.2.1.</t>
  </si>
  <si>
    <t>Дополнительное пенсионное страхование</t>
  </si>
  <si>
    <t>8.2.2.</t>
  </si>
  <si>
    <t>Обязательное страхование ЗП</t>
  </si>
  <si>
    <t>8.2.3.</t>
  </si>
  <si>
    <t>ФСЗН</t>
  </si>
  <si>
    <t>8.2.4.</t>
  </si>
  <si>
    <t>Отчисления в ФСЗН</t>
  </si>
  <si>
    <t>8.3.</t>
  </si>
  <si>
    <t>найм сотрудников со стороны</t>
  </si>
  <si>
    <t>Услуги по предоставлению персонала сторонними организациями; не планируется</t>
  </si>
  <si>
    <t>Услуги по предоставлению персонала сторонними организациями</t>
  </si>
  <si>
    <t>брак</t>
  </si>
  <si>
    <t>предусмотреть изменение % брака только для верхнего уровня орг структуры; (Казимов при формировании БДР)
Планирование идет по инвентаризационному календарю в разрезе ТО и групп товаров. % считается списание факт/ТО очищенный факт
На первом этапе реализации проекта предлагается загрузить данные из csv файла который формируется по поределенной методологии
 отдельный куб и перенос плановых данных верхнего уровня в куб Budget
Ответственный: Сацута Галина Николаевна</t>
  </si>
  <si>
    <t>9.1.</t>
  </si>
  <si>
    <t>естественная убыль и предпродажные отходы</t>
  </si>
  <si>
    <t>9.1.1.</t>
  </si>
  <si>
    <t>Естественная убыль</t>
  </si>
  <si>
    <t>9.1.2.</t>
  </si>
  <si>
    <t>Предпродажные отходы</t>
  </si>
  <si>
    <t>9.2.</t>
  </si>
  <si>
    <t>списание на забывчивость покупателей</t>
  </si>
  <si>
    <t>Списание товарных потерь на забывчивость в пределах норм</t>
  </si>
  <si>
    <t>9.3.</t>
  </si>
  <si>
    <t>порча, брак, гниль по данным фактических инвентаризаций</t>
  </si>
  <si>
    <t>9.3.1.</t>
  </si>
  <si>
    <t>Списание продукции по актам</t>
  </si>
  <si>
    <t>факт без изменений</t>
  </si>
  <si>
    <t>9.3.2.</t>
  </si>
  <si>
    <t>Списание продукции по актам (призн. складом "Сухой сток")</t>
  </si>
  <si>
    <t>перенести в Прилесье (из операционных затрат переносим вручную на косвенные Хранение)</t>
  </si>
  <si>
    <t>9.3.3.</t>
  </si>
  <si>
    <t>Списание продукции по актам (признанные складом СОФ)</t>
  </si>
  <si>
    <t>перенести в СОФ (из операционных затрат переносим вручную на косвенные Хранение)</t>
  </si>
  <si>
    <t>9.3.4.</t>
  </si>
  <si>
    <t>Списание товарных потерь (в том числе на забывчивость сверх норм)</t>
  </si>
  <si>
    <t>9.3.5.</t>
  </si>
  <si>
    <t>Восстан. вычет НДС при порче, утрате тов. (порча при хран. и реал.))</t>
  </si>
  <si>
    <t>9.3.6.</t>
  </si>
  <si>
    <t>Восстан. вычет НДС при порче, утрате тов. (потери сверх норм ест. уб.)</t>
  </si>
  <si>
    <t>9.4.</t>
  </si>
  <si>
    <t>порча, брак, гниль по данным управленческого учета</t>
  </si>
  <si>
    <t>из Excel файла</t>
  </si>
  <si>
    <t>присылают без НДС + 20% НДС</t>
  </si>
  <si>
    <t>9.5.</t>
  </si>
  <si>
    <t>корректировка п.9.4. по данным фактических инвентаризаций</t>
  </si>
  <si>
    <t xml:space="preserve">оприходование излишков товаров </t>
  </si>
  <si>
    <t>не отображается</t>
  </si>
  <si>
    <t>отдельным файлом делаю корректировку по инвентаризациям</t>
  </si>
  <si>
    <t>9.6.</t>
  </si>
  <si>
    <t>подлежит компенсация браков поставщиками</t>
  </si>
  <si>
    <t>по группам товаров</t>
  </si>
  <si>
    <t>Претензии,признанные поставщиками ВЭД</t>
  </si>
  <si>
    <t>+ из Excel файла2 Сацуты ГН берем сумму без НДС и переносим с минусом</t>
  </si>
  <si>
    <t>9.7.</t>
  </si>
  <si>
    <t>справочно: подлежит компенсации сотрудниками</t>
  </si>
  <si>
    <t>не учитывается в 9 и выводится справочно</t>
  </si>
  <si>
    <t>73.2</t>
  </si>
  <si>
    <t>Расчеты по возмещению материального ущерба</t>
  </si>
  <si>
    <t>Сотрудники</t>
  </si>
  <si>
    <t>транспортные расходы</t>
  </si>
  <si>
    <t>Ответственный: Малицкая Марина Васильевна (отдел логистики)</t>
  </si>
  <si>
    <t>10.1.</t>
  </si>
  <si>
    <t xml:space="preserve">доставка товаров от поставщика на склад  </t>
  </si>
  <si>
    <t>10.1.1.</t>
  </si>
  <si>
    <t>Транспортные расходы</t>
  </si>
  <si>
    <t>10.1.2.</t>
  </si>
  <si>
    <t>Доставка товаров от поставщика сторонним транспортом</t>
  </si>
  <si>
    <t>10.1.3.</t>
  </si>
  <si>
    <t>Экспедиционные расходы</t>
  </si>
  <si>
    <t>10.2.</t>
  </si>
  <si>
    <t xml:space="preserve">доставка товаров со склада до магазина </t>
  </si>
  <si>
    <t>Доставка товаров со склада до магазина сторонним транспортом</t>
  </si>
  <si>
    <t>10.3.</t>
  </si>
  <si>
    <t xml:space="preserve">доставка товаров между складами / магазинами </t>
  </si>
  <si>
    <t>Межфилиальные перевозки сторонним транспортом</t>
  </si>
  <si>
    <t>внешний мерчендайзинг (услуги)</t>
  </si>
  <si>
    <t>М1</t>
  </si>
  <si>
    <t>= Чистый валовый доход - Переменные затраты
промежуточный результат</t>
  </si>
  <si>
    <t>12.1.</t>
  </si>
  <si>
    <t>= М1 / Выручка (товарооборот) без НДС</t>
  </si>
  <si>
    <t>Трассированные затраты</t>
  </si>
  <si>
    <t>= 15+16+17+19+20+21+22+23+26+28+29+30</t>
  </si>
  <si>
    <t>13.1.</t>
  </si>
  <si>
    <t>= Трассированные затраты / Выручка (товарооборот) без НДС</t>
  </si>
  <si>
    <t>= Трассированные затраты / Чистый валовый доход</t>
  </si>
  <si>
    <t>склады и АУП только (аналогично 8)
есть нюансы для АУП  для охраны и бухгалтерии. Не учитывается, если сотрузник физически находился на ТО. Существует табель физическое нахождение</t>
  </si>
  <si>
    <t>14.1.</t>
  </si>
  <si>
    <t>зарплата постоянная</t>
  </si>
  <si>
    <t>14.2.</t>
  </si>
  <si>
    <t>14.3.</t>
  </si>
  <si>
    <t>содержание автотранспорта</t>
  </si>
  <si>
    <t>АУП и Хранение (косвенные затраты)
Ответственный: Малицкая Марина Васильевна</t>
  </si>
  <si>
    <t>= содержание автотранспорта / Выручка (товарооборот) без НДС</t>
  </si>
  <si>
    <t>= содержание автотранспорта / Чистый валовый доход</t>
  </si>
  <si>
    <t>15.1.</t>
  </si>
  <si>
    <t xml:space="preserve"> ГСМ</t>
  </si>
  <si>
    <t>15.1.1.</t>
  </si>
  <si>
    <t>ГСМ арендованного автотранспорта</t>
  </si>
  <si>
    <t>15.1.2.</t>
  </si>
  <si>
    <t>ГСМ собственного автотранспорта</t>
  </si>
  <si>
    <t>15.1.3.</t>
  </si>
  <si>
    <t>Расходы НС</t>
  </si>
  <si>
    <t>15.1.4.</t>
  </si>
  <si>
    <t>Списание ГСМ, н/у при н/о</t>
  </si>
  <si>
    <t>15.2.</t>
  </si>
  <si>
    <t>техобслуживание и ремонт сторонними организациями</t>
  </si>
  <si>
    <t>15.2.1.</t>
  </si>
  <si>
    <t>Техобслуживание и ремонт арендованного автотранспорта</t>
  </si>
  <si>
    <t>15.2.2.</t>
  </si>
  <si>
    <t>Техобслуживание и ремонт собственного автотранспорта</t>
  </si>
  <si>
    <t>15.3.</t>
  </si>
  <si>
    <t>техобслуживание и ремонт собственными силами</t>
  </si>
  <si>
    <t>15.4.</t>
  </si>
  <si>
    <t>плата за стоянки</t>
  </si>
  <si>
    <t>15.5.</t>
  </si>
  <si>
    <t>плата за дороги</t>
  </si>
  <si>
    <t>15.6.</t>
  </si>
  <si>
    <t>Мойка и дезинфекция</t>
  </si>
  <si>
    <t>15.7.</t>
  </si>
  <si>
    <t>амортизация транспорта согласно Положению</t>
  </si>
  <si>
    <t>15.8.</t>
  </si>
  <si>
    <t>Прочие</t>
  </si>
  <si>
    <t>15.8.1.</t>
  </si>
  <si>
    <t>Плата за стоянки</t>
  </si>
  <si>
    <t>15.8.2.</t>
  </si>
  <si>
    <t>Прочие расходы по содержанию транспорта</t>
  </si>
  <si>
    <t>16.</t>
  </si>
  <si>
    <t>энергетика и отопление</t>
  </si>
  <si>
    <t>тарифная группа статей</t>
  </si>
  <si>
    <t>необходимо разработать методологию расчета коэфициента роста тарифов</t>
  </si>
  <si>
    <t>= энергетика и отопление / Выручка (товарооборот) без НДС</t>
  </si>
  <si>
    <t>= энергетика и отопление / Чистый валовый доход</t>
  </si>
  <si>
    <t>16.1.</t>
  </si>
  <si>
    <t>электроэнергия от сторонних организаций</t>
  </si>
  <si>
    <t>расчитывается планируемый тариф с учетом коэффициента роста и факт предыдущего периода умножается на плановый тариф</t>
  </si>
  <si>
    <t>16.1.1.</t>
  </si>
  <si>
    <t>Электроэнергия</t>
  </si>
  <si>
    <t>1C</t>
  </si>
  <si>
    <t>16.1.2.</t>
  </si>
  <si>
    <t>Электроэнергия (отопление/подогрев)</t>
  </si>
  <si>
    <t>16.2.</t>
  </si>
  <si>
    <t xml:space="preserve"> электроэнергия собственная </t>
  </si>
  <si>
    <t>пересчитывем по другому тарифу</t>
  </si>
  <si>
    <t>16.3.</t>
  </si>
  <si>
    <t>Затраты на транзит собственной электроэнергии</t>
  </si>
  <si>
    <t>16.4.</t>
  </si>
  <si>
    <t>газ</t>
  </si>
  <si>
    <t>Газ</t>
  </si>
  <si>
    <t>16.5.</t>
  </si>
  <si>
    <t>тепловая энергия и горячая вода</t>
  </si>
  <si>
    <t>Теплоэнергия</t>
  </si>
  <si>
    <t>Командировочные расходы</t>
  </si>
  <si>
    <t>= сумма затрат факт / количество месяцев, по которым есть факт + добавляется план для новых ТО на основе магазина-аналога
на основании факта (план)</t>
  </si>
  <si>
    <t>New</t>
  </si>
  <si>
    <t xml:space="preserve">17.1. </t>
  </si>
  <si>
    <t>17.1.1.</t>
  </si>
  <si>
    <t>Проезд</t>
  </si>
  <si>
    <t>17.1.2.</t>
  </si>
  <si>
    <t>Проживание</t>
  </si>
  <si>
    <t>17.1.3.</t>
  </si>
  <si>
    <t>Суточные</t>
  </si>
  <si>
    <t>17.1.4.</t>
  </si>
  <si>
    <t>Командировочные расходы (проживание) сверхнормативные</t>
  </si>
  <si>
    <t>17.1.5.</t>
  </si>
  <si>
    <t>Командировочные расходы (суточные) сверхнормативные</t>
  </si>
  <si>
    <t>17.1.6.</t>
  </si>
  <si>
    <t>Командировочные расходы (проезд) сверхнормативные</t>
  </si>
  <si>
    <t>17.1.7.</t>
  </si>
  <si>
    <t>Транспортные услуги по перевозке пассажиров</t>
  </si>
  <si>
    <t>услуги по хранению (содержание склада)</t>
  </si>
  <si>
    <t>косв. затраты (хранение)</t>
  </si>
  <si>
    <t>Отдел логистики - Малицкая Марина Васильевна</t>
  </si>
  <si>
    <t>18.1.</t>
  </si>
  <si>
    <t>погрузо-разгрузочные работы</t>
  </si>
  <si>
    <t>не предоставляется</t>
  </si>
  <si>
    <t>18.2.</t>
  </si>
  <si>
    <t xml:space="preserve">Услуги по хранению </t>
  </si>
  <si>
    <t>18.2.1.</t>
  </si>
  <si>
    <t>18.2.2.</t>
  </si>
  <si>
    <t>Текхнологические отходы при фасовке</t>
  </si>
  <si>
    <t>18.3.</t>
  </si>
  <si>
    <t>прочие материалы (стрейч, скотч и т.п.)</t>
  </si>
  <si>
    <t>18.4.</t>
  </si>
  <si>
    <t xml:space="preserve">аренда складов </t>
  </si>
  <si>
    <t>18.5.</t>
  </si>
  <si>
    <t>услуги по хранению на СВХ</t>
  </si>
  <si>
    <t>Услуги по хранению на СВХ</t>
  </si>
  <si>
    <t>сертификация, исследования, испытания, регистрация (СИИР)</t>
  </si>
  <si>
    <t>= СИИР / Выручка (товарооборот) без НДС</t>
  </si>
  <si>
    <t>= СИИР / Чистый валовый доход</t>
  </si>
  <si>
    <t>19.1.</t>
  </si>
  <si>
    <t>СИИР сырья и материалов</t>
  </si>
  <si>
    <t>19.2.</t>
  </si>
  <si>
    <t>СИИР готовой продукции и товаров</t>
  </si>
  <si>
    <t>% показатель (план)
ТО, Хранение, АУП
= % * Выручка (товарооборот) без НДС
% = СИИР гот прод (факт)/ТО общий без НДС (факт)</t>
  </si>
  <si>
    <t>19.2.1.</t>
  </si>
  <si>
    <t>Лабораторные исследования</t>
  </si>
  <si>
    <t>19.2.2.</t>
  </si>
  <si>
    <t>Услуги по сертификации</t>
  </si>
  <si>
    <t>19.3.</t>
  </si>
  <si>
    <t xml:space="preserve">СИИР торгового оборудования (весов) </t>
  </si>
  <si>
    <t>% показатель (план)
= % * Выручка (товарооборот) без НДС
ТО, Хранение, АУП
 Убираем контрагента "Лабораторные измерения и охрана труда ООО", расчитываем план и затем добавляем лаб измерения. Затраты расчитываются как среднее значение факта</t>
  </si>
  <si>
    <t>Метрологические услуги</t>
  </si>
  <si>
    <t>налоги и таможенные платежи</t>
  </si>
  <si>
    <t>= налоги и там. платежи / Выручка (товарооборот) без НДС</t>
  </si>
  <si>
    <t>= налоги и там. платежи / Чистый валовый доход</t>
  </si>
  <si>
    <t>20.1.</t>
  </si>
  <si>
    <t>Земельный налог</t>
  </si>
  <si>
    <t>= факт / количество месяцев
отдельно считается для ТО, АУП; Хранение?</t>
  </si>
  <si>
    <t>20.1.1.</t>
  </si>
  <si>
    <t>20.1.2.</t>
  </si>
  <si>
    <t>Земельный налог (аренда земли), н/у при н/обл.</t>
  </si>
  <si>
    <t>20.2.</t>
  </si>
  <si>
    <t>Налог на недвижимость</t>
  </si>
  <si>
    <t>Остаточная стоимость на месяц = Остаточная стоимость на конец / 12
Остаточная стоимость на конец = Остаточная стоимость - Износ основных фондов, начисленный за год
Износ основных фондов, начисленный за год = Износ основных фондов, начисленный за январь * 12
= остаточная стоимость на месяц * квартальный коэффициент местоположения (справочно)</t>
  </si>
  <si>
    <t>Excel</t>
  </si>
  <si>
    <t>1С+доначисление из файла Осийчук ВП</t>
  </si>
  <si>
    <t>справочно: в т.ч. за счет спонсорской помощи</t>
  </si>
  <si>
    <t>общая сумма распределяется по месяцам</t>
  </si>
  <si>
    <t>доначисление из файла Осийчук ВП</t>
  </si>
  <si>
    <t>Экологический налог</t>
  </si>
  <si>
    <t>расчитывается на основании факта (факт / кол-во месяцев). По некоторым объектам делается увеличение % с 3го квартала
Продумать механизм расчета коэффициента роста</t>
  </si>
  <si>
    <t>20.4.</t>
  </si>
  <si>
    <t>20.4.1.</t>
  </si>
  <si>
    <t>Таможенные пошлины</t>
  </si>
  <si>
    <t>20.4.2.</t>
  </si>
  <si>
    <t>Таможенный сбор</t>
  </si>
  <si>
    <t>20.4.3.</t>
  </si>
  <si>
    <t>Транспортный налог</t>
  </si>
  <si>
    <t>расходы по содержанию зданий, сооружений и оборудования</t>
  </si>
  <si>
    <t>= Выручка (товарооборот) без НДС * %
% расчитывается = (обслуживание здания и текущий ремонт мелкий (факт) + обслуживание и ремонт оборудования (факт))/ТО общий без НДС (факт).</t>
  </si>
  <si>
    <t>ТО, Хранение, АУП
% расчитывается = (обслуживание здания и текущий ремонт мелкий (факт) + обслуживание и ремонт оборудования (факт))/ТО общий без НДС (факт).</t>
  </si>
  <si>
    <t>= расходы / Выручка (товарооборот) без НДС</t>
  </si>
  <si>
    <t>= расходы / Чистый валовый доход</t>
  </si>
  <si>
    <t>21.1.</t>
  </si>
  <si>
    <t>обслуживание здания и текущий ремонт мелкий</t>
  </si>
  <si>
    <t>из 1С минус СНОСКИ</t>
  </si>
  <si>
    <t>% расчитывается = обслуживание здания и текущий ремонт мелкий (факт) / ТО общий без НДС (факт).
% показатель (план)</t>
  </si>
  <si>
    <t>21.1.2.</t>
  </si>
  <si>
    <t>Обслуживание зданий</t>
  </si>
  <si>
    <t>21.1.3.</t>
  </si>
  <si>
    <t>Обслуживание и ремонт систем видеонаблюдения</t>
  </si>
  <si>
    <t>21.1.4.</t>
  </si>
  <si>
    <t>Обслуживание лифтов</t>
  </si>
  <si>
    <t>21.1.5.</t>
  </si>
  <si>
    <t>Текущий ремонт зданий</t>
  </si>
  <si>
    <t>21.1.6.</t>
  </si>
  <si>
    <t>Ремонтно-строительные работы (ребрендинг)</t>
  </si>
  <si>
    <t>21.1.1.</t>
  </si>
  <si>
    <t>справочно: в т.ч. эксплуатационные</t>
  </si>
  <si>
    <t>не учитаывается в тотал - выводится справочно</t>
  </si>
  <si>
    <t>% показатель (план)
просто итоговое число</t>
  </si>
  <si>
    <t>21.2.</t>
  </si>
  <si>
    <t>обслуживание и ремонт оборудования</t>
  </si>
  <si>
    <t>% расчитывается = обслуживание и ремонт оборудования (факт) / ТО общий без НДС (факт).</t>
  </si>
  <si>
    <t>21.2.1.</t>
  </si>
  <si>
    <t>Обслуживание и ремонт весов</t>
  </si>
  <si>
    <t>21.2.2.</t>
  </si>
  <si>
    <t>Обслуживание и ремонт кассового оборудования</t>
  </si>
  <si>
    <t>21.2.3.</t>
  </si>
  <si>
    <t>Обслуживание и ремонт прочего оборудования</t>
  </si>
  <si>
    <t>21.2.4.</t>
  </si>
  <si>
    <t>Обслуживание, ремонт торгово-технологического оборудования</t>
  </si>
  <si>
    <t>21.2.5.</t>
  </si>
  <si>
    <t>Обслуживание, ремонт холодильного оборудования</t>
  </si>
  <si>
    <t xml:space="preserve">страхование </t>
  </si>
  <si>
    <t>= страхование / Выручка (товарооборот) без НДС</t>
  </si>
  <si>
    <t>= страхование / Чистый валовый доход</t>
  </si>
  <si>
    <t>22.1.</t>
  </si>
  <si>
    <t xml:space="preserve">     - страхование обязательное</t>
  </si>
  <si>
    <t>22.1.1.</t>
  </si>
  <si>
    <t xml:space="preserve"> страхование автотранспорта обязательное</t>
  </si>
  <si>
    <t>планируется в евро по факту для актуального списка автотранспорта и добавляется плановый автотранспорт. Пересчет по курсу из КЦ. Необходимо предоставлять актуальный список авто из 1С</t>
  </si>
  <si>
    <t>22.1.2.</t>
  </si>
  <si>
    <t>страхование недвижимости обязательное</t>
  </si>
  <si>
    <t>= (факт / кол-во мес) * коэфф роста к пред периоду
продумать механизм расчета коэффициента роста</t>
  </si>
  <si>
    <t>22.2.</t>
  </si>
  <si>
    <t xml:space="preserve">     - страхование добровольное</t>
  </si>
  <si>
    <t>22.2.1.</t>
  </si>
  <si>
    <t>страхование автотранспорта добровольное</t>
  </si>
  <si>
    <t>в бел рубялх. Учитывается дата окончания полиса (на какой месяц планировать затраты</t>
  </si>
  <si>
    <t>22.2.2.</t>
  </si>
  <si>
    <t>страхование недвижимости добровольное</t>
  </si>
  <si>
    <t>22.2.3.</t>
  </si>
  <si>
    <t>страхование тмц</t>
  </si>
  <si>
    <t>= (факт / кол-во мес) * коэфф роста к пред периоду
Почему для 2025 использовали понижающий кэффициент?</t>
  </si>
  <si>
    <t>22.2.3.1.</t>
  </si>
  <si>
    <t>22.2.3.2.</t>
  </si>
  <si>
    <t>Страхование оборудования</t>
  </si>
  <si>
    <t>Списание ТМЦ</t>
  </si>
  <si>
    <t>= списание ТМЦ / Выручка (товарооборот) без НДС</t>
  </si>
  <si>
    <t>= списание ТМЦ / Чистый валовый доход</t>
  </si>
  <si>
    <t>23.1.</t>
  </si>
  <si>
    <t>канцтовары и бланки</t>
  </si>
  <si>
    <t>на основании факта (план)
= факт / количество месяцев</t>
  </si>
  <si>
    <t>23.1.1.</t>
  </si>
  <si>
    <t>Канцтовары</t>
  </si>
  <si>
    <t>23.1.2.</t>
  </si>
  <si>
    <t>Расходы на бланки</t>
  </si>
  <si>
    <t>23.2.</t>
  </si>
  <si>
    <t>Хозрасходы</t>
  </si>
  <si>
    <t>% показатель (план)
аналогичные формы с 21</t>
  </si>
  <si>
    <t>23.3.</t>
  </si>
  <si>
    <t>Списание МБП</t>
  </si>
  <si>
    <t>раскрываем до содержания, оставляем только суммы по начислению амортизации, остальное не учитываем+групповые (данные из отчета 1С отдельно выгружаю) -данные от СередюкаИ. для перебросок на другие статьи -СНОСКИ</t>
  </si>
  <si>
    <t>23.3.1.</t>
  </si>
  <si>
    <t>Амортизация МБП</t>
  </si>
  <si>
    <t>23.3.2.</t>
  </si>
  <si>
    <t>23.4.</t>
  </si>
  <si>
    <t>Спецодежда</t>
  </si>
  <si>
    <t>23.4.1.</t>
  </si>
  <si>
    <t>Списание запасов (порча (утрата))</t>
  </si>
  <si>
    <t>23.4.2.</t>
  </si>
  <si>
    <t>Амортизация спецодежды</t>
  </si>
  <si>
    <t>23.4.3.</t>
  </si>
  <si>
    <t>23.4.4.</t>
  </si>
  <si>
    <t>Восстан. вычет НДС при порче, утрате запасов (за исключ. товаров)</t>
  </si>
  <si>
    <t>23.5.</t>
  </si>
  <si>
    <t>23.5.1.</t>
  </si>
  <si>
    <t>Прочие материалы</t>
  </si>
  <si>
    <t>23.6.</t>
  </si>
  <si>
    <t>Упаковочные материалы</t>
  </si>
  <si>
    <t>представительские расходы</t>
  </si>
  <si>
    <t>= факт * коэфф.роста
необходимо разработать методологию расчета коэфициента роста тарифов или использовать константу
АУП и Хранение только</t>
  </si>
  <si>
    <t>Представительские расходы</t>
  </si>
  <si>
    <t>90.10.11</t>
  </si>
  <si>
    <t>Прочие расходы по текущей деятельности (по местам хранения)</t>
  </si>
  <si>
    <t>44.3</t>
  </si>
  <si>
    <t>Управленческие расходы в торговле</t>
  </si>
  <si>
    <t>штрафы покупателей по условиям договоров</t>
  </si>
  <si>
    <t>коммунальные услуги</t>
  </si>
  <si>
    <t>= коммунальные услуги / Выручка (товарооборот) без НДС</t>
  </si>
  <si>
    <t>= коммунальные услуги / Чистый валовый доход</t>
  </si>
  <si>
    <t>26.1.</t>
  </si>
  <si>
    <t>водоснабжение и канализация</t>
  </si>
  <si>
    <t>тарифы</t>
  </si>
  <si>
    <t>Водоснабжение\канализация</t>
  </si>
  <si>
    <t>26.2.</t>
  </si>
  <si>
    <t>вывоз мусора</t>
  </si>
  <si>
    <t>Вывоз и обезвреживание ТБО</t>
  </si>
  <si>
    <t>26.4.</t>
  </si>
  <si>
    <t>утилизация бытовых отходов</t>
  </si>
  <si>
    <t>26.5.</t>
  </si>
  <si>
    <t>услуги банков и депозитариев</t>
  </si>
  <si>
    <t>= услуги банков и депозитариев / Выручка (товарооборот) без НДС</t>
  </si>
  <si>
    <t>= услуги банков и депозитариев / Чистый валовый доход</t>
  </si>
  <si>
    <t>28.1.</t>
  </si>
  <si>
    <t>расходы по эквайрингу</t>
  </si>
  <si>
    <t>из 1С +28.1.1.</t>
  </si>
  <si>
    <t>28.1.2.</t>
  </si>
  <si>
    <t>Комиссия по пластиковым карточкам</t>
  </si>
  <si>
    <t>28.1.1.</t>
  </si>
  <si>
    <t>28.1.1. в т.ч. партнерские программы</t>
  </si>
  <si>
    <t>распределяем по удельному весу к расходам по эквайрингу</t>
  </si>
  <si>
    <t>Партнерские программы/Трейд-маркетинг</t>
  </si>
  <si>
    <t>Перераспределенные затраты из Excel по удельному весу. Данные из 1С</t>
  </si>
  <si>
    <t>28.2.</t>
  </si>
  <si>
    <t xml:space="preserve">расходы на инкассацию </t>
  </si>
  <si>
    <t>Инкассация</t>
  </si>
  <si>
    <t>28.3.</t>
  </si>
  <si>
    <t>комиссии по карточкам рассрочки</t>
  </si>
  <si>
    <r>
      <t>рассчитывается как % к ТО</t>
    </r>
    <r>
      <rPr>
        <b/>
        <sz val="8"/>
        <color theme="1"/>
        <rFont val="Calibri"/>
        <scheme val="minor"/>
      </rPr>
      <t xml:space="preserve"> с НДС</t>
    </r>
    <r>
      <rPr>
        <sz val="8"/>
        <color theme="1"/>
        <rFont val="Calibri"/>
        <scheme val="minor"/>
      </rPr>
      <t>. Обычно без НДС</t>
    </r>
  </si>
  <si>
    <t>Комиссия по пластиковым карточкам рассрочки</t>
  </si>
  <si>
    <t>28.4.</t>
  </si>
  <si>
    <t>прочие (аренда терминалов)</t>
  </si>
  <si>
    <t>Тариф на количество терминалов
Уточнить, что входит в прочие у АУП и Хранения</t>
  </si>
  <si>
    <t>28.4.1.</t>
  </si>
  <si>
    <t>Комиссия банка</t>
  </si>
  <si>
    <t>28.4.2.</t>
  </si>
  <si>
    <t>Аренда терминалов</t>
  </si>
  <si>
    <t>консультационные и информационные услуги</t>
  </si>
  <si>
    <t>= консультационные и информационные услуги / Выручка (товарооборот) без НДС</t>
  </si>
  <si>
    <t>= консультационные и информационные услуги / Чистый валовый доход</t>
  </si>
  <si>
    <t>29.1.</t>
  </si>
  <si>
    <t>консультационные услуги</t>
  </si>
  <si>
    <t>29.1.1.</t>
  </si>
  <si>
    <t>Аудиторские услуги</t>
  </si>
  <si>
    <t>29.1.2.</t>
  </si>
  <si>
    <t>Информационно-консультационные услуги</t>
  </si>
  <si>
    <t>29.2.</t>
  </si>
  <si>
    <t>подписка и приобр. печатных изданий</t>
  </si>
  <si>
    <t>Подписка и приобр. печатных изданий</t>
  </si>
  <si>
    <t>29.3.</t>
  </si>
  <si>
    <t>услуги в сфере ИТ</t>
  </si>
  <si>
    <t>факт, плюс обновляется список сторонних организаций (Ланец)</t>
  </si>
  <si>
    <t>29.3.1.</t>
  </si>
  <si>
    <t>Услуги в сфере ИТ</t>
  </si>
  <si>
    <t>29.3.2.</t>
  </si>
  <si>
    <t>Обслуживание и ремонт компьютерного оборудования и оргтехники</t>
  </si>
  <si>
    <t>29.4.</t>
  </si>
  <si>
    <t>тренинги, семинары, обучение</t>
  </si>
  <si>
    <t>на основании факта (план) + план обучения</t>
  </si>
  <si>
    <t>предположительно будет просто загрузка суммы</t>
  </si>
  <si>
    <t>29.4.2.</t>
  </si>
  <si>
    <t>Материально-техническое обеспечение обучения (аренда: помещений, транспорта, оборудования; проживание в Шале в период об</t>
  </si>
  <si>
    <t>29.4.3.</t>
  </si>
  <si>
    <t>Обучение по профессиональным компетенциям</t>
  </si>
  <si>
    <t>29.4.4.</t>
  </si>
  <si>
    <t>Обязательное обучение</t>
  </si>
  <si>
    <t>29.4.5.</t>
  </si>
  <si>
    <t>Проезд (обучение)</t>
  </si>
  <si>
    <t>29.4.6.</t>
  </si>
  <si>
    <t>Проживание (обучение)</t>
  </si>
  <si>
    <t>29.4.7.</t>
  </si>
  <si>
    <t>Суточные (обучение)</t>
  </si>
  <si>
    <t>Обучение</t>
  </si>
  <si>
    <t>Семинары</t>
  </si>
  <si>
    <t>Оплата услуг провайдеров по оценке персонала</t>
  </si>
  <si>
    <t>Развивающее обучение</t>
  </si>
  <si>
    <t>29.4.1.</t>
  </si>
  <si>
    <t>затраты на обучение в пределах бюджета</t>
  </si>
  <si>
    <t>необходимо онисание планирования</t>
  </si>
  <si>
    <t>29.5.</t>
  </si>
  <si>
    <t>подбор персонала (ТО и АУП)
Горошко Оксана Владимировна</t>
  </si>
  <si>
    <t>29.5.1.</t>
  </si>
  <si>
    <t>Оплата доступа к базам резюме, покупка тарифных планов</t>
  </si>
  <si>
    <t>29.5.2.</t>
  </si>
  <si>
    <t>Размещение объявлений в СМИ, сети интернет,лифтах. Брендирование объявлений</t>
  </si>
  <si>
    <t>Оплата услуг по проведению тестирования при приеме наработу</t>
  </si>
  <si>
    <t>Участие в ярмарках вакансий (оплата участия, закупка стендов)</t>
  </si>
  <si>
    <t>Расходы на идеологическую работу</t>
  </si>
  <si>
    <t xml:space="preserve">прочие услуги </t>
  </si>
  <si>
    <t>= прочие услуги / Выручка (товарооборот) без НДС</t>
  </si>
  <si>
    <t>= прочие услуги / Чистый валовый доход</t>
  </si>
  <si>
    <t>30.1.</t>
  </si>
  <si>
    <t>охрана и пожарная безопасность</t>
  </si>
  <si>
    <t>на основании факта (план)
берется среднее значение факта + увелич. тарифы(коэф.роста с предыд. годом)
однако в 2025 было взято среднее значение факта за 4 месяца (июль, авг, сен, окт)</t>
  </si>
  <si>
    <t>30.1.1.</t>
  </si>
  <si>
    <t>Охрана объектов</t>
  </si>
  <si>
    <t>30.1.2.</t>
  </si>
  <si>
    <t>Противопожарная безопасность</t>
  </si>
  <si>
    <t>30.2.</t>
  </si>
  <si>
    <t>Услуги почты</t>
  </si>
  <si>
    <t>магазины - факт, АУП факт предыдущих 2-х лет и увел. тарифов. Рассмотреть с Ильей Казимовым</t>
  </si>
  <si>
    <t>30.3.</t>
  </si>
  <si>
    <t>медосмотр и медпункт</t>
  </si>
  <si>
    <t>среднее по магазину и потом вносятся, если есть, изменения в договоре страхования</t>
  </si>
  <si>
    <t>30.3.1.</t>
  </si>
  <si>
    <t>Медосмотр</t>
  </si>
  <si>
    <t>30.3.2.</t>
  </si>
  <si>
    <t>Страхование прочее</t>
  </si>
  <si>
    <t>Страхование</t>
  </si>
  <si>
    <t>30.4.</t>
  </si>
  <si>
    <t>Расходы по услугам связи</t>
  </si>
  <si>
    <t>(факт / кол-во месяцев)*коэф роста с июля</t>
  </si>
  <si>
    <t>30.5.</t>
  </si>
  <si>
    <t>Услуги прачечной (стирка, химчистка)</t>
  </si>
  <si>
    <t>30.6.</t>
  </si>
  <si>
    <t>дератизация помещений</t>
  </si>
  <si>
    <t>необходимо расчитать коэф. роста и умножить факт с мая</t>
  </si>
  <si>
    <t>Дератизация и дезинфекция</t>
  </si>
  <si>
    <t>30.8.</t>
  </si>
  <si>
    <t>на основании факта (план) + 30.8.1 (план)</t>
  </si>
  <si>
    <t>30.8.2.</t>
  </si>
  <si>
    <t>Аренда оборудования</t>
  </si>
  <si>
    <t>30.8.3.</t>
  </si>
  <si>
    <t>Аренда прочая</t>
  </si>
  <si>
    <t>по ЦП 300 сумму переносим на 33.1. - необходимы пояснения</t>
  </si>
  <si>
    <t>30.8.4.</t>
  </si>
  <si>
    <t>Услуги по ОДУ</t>
  </si>
  <si>
    <t>30.8.5.</t>
  </si>
  <si>
    <t>Вознаграждение исполнителю за услуги в интернет-торговле</t>
  </si>
  <si>
    <t>30.8.6.</t>
  </si>
  <si>
    <t>Прочие затраты</t>
  </si>
  <si>
    <t>30.8.7.</t>
  </si>
  <si>
    <t>Уборка комплексная</t>
  </si>
  <si>
    <t>30.8.8.</t>
  </si>
  <si>
    <t>Услуги таможенного декларанта</t>
  </si>
  <si>
    <t>30.8.1.</t>
  </si>
  <si>
    <t>т.ч.затраты маркетинга на операционку</t>
  </si>
  <si>
    <t>30.8.1.1.</t>
  </si>
  <si>
    <t>печатная продукция</t>
  </si>
  <si>
    <t>Наклейки/Квартальная заявка/Операционные затраты</t>
  </si>
  <si>
    <t>30.8.1.2.</t>
  </si>
  <si>
    <t>Плакаты/Квартальная заявка/Операционные затраты</t>
  </si>
  <si>
    <t>30.8.1.3.</t>
  </si>
  <si>
    <t>Стопперы/шелфтокеры/Квартальная заявка/Операционные затраты</t>
  </si>
  <si>
    <t>Бланки/Квартальная заявка/Операционные затраты</t>
  </si>
  <si>
    <t>Оформление  корзин/Квартальная заявка/Операционные затраты</t>
  </si>
  <si>
    <t>Х-баннера/Квартальная заявка/Операционные затраты</t>
  </si>
  <si>
    <t>оформление магазинов</t>
  </si>
  <si>
    <t>Оформление магазинов/Оформление магазинов/Операционные затраты</t>
  </si>
  <si>
    <t>Новогоднее оформление магазинов</t>
  </si>
  <si>
    <t>30.8.1.4.</t>
  </si>
  <si>
    <t>паспорта рекламы-вывески</t>
  </si>
  <si>
    <t>30.8.1.4.1.</t>
  </si>
  <si>
    <t>Паспорта рекламы-вывески/Наружная реклама/Операционные затраты</t>
  </si>
  <si>
    <t>30.8.1.4.2.</t>
  </si>
  <si>
    <t>Паспорта рекламы-баннеры СП/Наружная реклама/Операционные затраты</t>
  </si>
  <si>
    <t>Баннер на фасаде магазина</t>
  </si>
  <si>
    <t>30.8.1.5.</t>
  </si>
  <si>
    <t>трейд-маркетинг</t>
  </si>
  <si>
    <t>не планируется, только операционная деятельность
возможно это добавится в бюджет 2026, АУП (ПАРТНЕРСКИЕ ПРОГРАММЫ) нет с июля</t>
  </si>
  <si>
    <t>Ай да цена(поддержка МПВ)/Трейд-маркетинг/Операционные затраты</t>
  </si>
  <si>
    <t>30.8.1.6.</t>
  </si>
  <si>
    <t>лояльность</t>
  </si>
  <si>
    <t>не планируется, только операционная деятельность, карты новым сотрудникам (было раньше), перевыпуск (замена) карт лояльности. Незначительная статья
возможно это добавится в бюджет 2026, АУП</t>
  </si>
  <si>
    <t>Замена карт/рассылка/Лояльность/Операционные затраты</t>
  </si>
  <si>
    <t xml:space="preserve">транспортные расходы ЦЗ </t>
  </si>
  <si>
    <t xml:space="preserve">доставка товаров от поставщика сторонним транспортом </t>
  </si>
  <si>
    <t>межфилиальные перевозки сторонним транспортом</t>
  </si>
  <si>
    <t>Финрезультат до распределения затрат</t>
  </si>
  <si>
    <t>= М1 - Трассированные затраты</t>
  </si>
  <si>
    <t>32.1.</t>
  </si>
  <si>
    <t>= Финрезультат до распределения затрат / Выручка (товарооборот) без НДС</t>
  </si>
  <si>
    <t xml:space="preserve">Арендная плата внешним арендаторам </t>
  </si>
  <si>
    <t>на основании факта (план)
на пересмотре (данные должны браться из 1С); принцип расчета как 20.2</t>
  </si>
  <si>
    <t>33.1.</t>
  </si>
  <si>
    <t>в т.ч. арендная плата внешним арендодателям по базовому курсу</t>
  </si>
  <si>
    <t>пересчитываем аренду по магазинам Виталюр - необходимо более подробное описание</t>
  </si>
  <si>
    <t>33.1.1.</t>
  </si>
  <si>
    <t>Аренда магазинов</t>
  </si>
  <si>
    <t>33.1.2.</t>
  </si>
  <si>
    <t>Аренда офисов</t>
  </si>
  <si>
    <t>33.1.3.</t>
  </si>
  <si>
    <t>Аренда складов</t>
  </si>
  <si>
    <t>33.1.4.</t>
  </si>
  <si>
    <t>Аренда</t>
  </si>
  <si>
    <t>33.2.</t>
  </si>
  <si>
    <t>курсовые разницы по арендной плате внешним арендодателям</t>
  </si>
  <si>
    <t>данные из файла Жука А. (продумать загрузку)</t>
  </si>
  <si>
    <t>Финрезультат до распределения затрат с учетом внешней аренды</t>
  </si>
  <si>
    <t xml:space="preserve">= Финрезультат до распределения затрат - Арендная плата внешним арендаторам </t>
  </si>
  <si>
    <t>34.1.</t>
  </si>
  <si>
    <t>= Финрезультат до распределения затрат с учетом внешней аренды / Выручка (товарооборот) без НДС</t>
  </si>
  <si>
    <t>Косвенные затраты:</t>
  </si>
  <si>
    <t>данной статьи нет для АУП и Хранения</t>
  </si>
  <si>
    <t>= косвенные затраты / Выручка (товарооборот) без НДС</t>
  </si>
  <si>
    <t>= косвенные затраты / Чистый валовый доход</t>
  </si>
  <si>
    <t>35.1.</t>
  </si>
  <si>
    <t>хранение</t>
  </si>
  <si>
    <t>= Финрезультат до распределения затрат с учетом внешней аренды (Хранение) * (-1)</t>
  </si>
  <si>
    <t>35.2.</t>
  </si>
  <si>
    <t>АУП</t>
  </si>
  <si>
    <t>= Финрезультат до распределения затрат с учетом внешней аренды (АУП) * (-1)</t>
  </si>
  <si>
    <t>М2</t>
  </si>
  <si>
    <t xml:space="preserve">= Финрезультат до распределения затрат с учетом внешней аренды - Косвенные затраты </t>
  </si>
  <si>
    <t>36.1.</t>
  </si>
  <si>
    <t>Расходы на маркетинг, рекламу, трейд-маркетинг итого</t>
  </si>
  <si>
    <t>см. вкладку "Группа статей 38"</t>
  </si>
  <si>
    <t>38.1.</t>
  </si>
  <si>
    <t>38.1.1.</t>
  </si>
  <si>
    <t>Размещение рекламы</t>
  </si>
  <si>
    <t>из 1С + корректировки от маркетинга</t>
  </si>
  <si>
    <t>38.1.2.</t>
  </si>
  <si>
    <t>производство рекламы</t>
  </si>
  <si>
    <t>38.1.3.</t>
  </si>
  <si>
    <t>digital (SMM - последняя версия плана)</t>
  </si>
  <si>
    <t>нет данных</t>
  </si>
  <si>
    <t>38.1.4.</t>
  </si>
  <si>
    <t>PR</t>
  </si>
  <si>
    <t>38.1.5.</t>
  </si>
  <si>
    <t>маркетинговые исследования</t>
  </si>
  <si>
    <t>38.1.6.</t>
  </si>
  <si>
    <t>Разработка дизайна для продукции СП / Брендинг и дизайн / Маркетинг / Маркетинг</t>
  </si>
  <si>
    <t>из 1С + корректировки от маркетинга -СНОСКИ</t>
  </si>
  <si>
    <t>38.1.7.</t>
  </si>
  <si>
    <t>стимулирование покупателей</t>
  </si>
  <si>
    <t>38.1.8.</t>
  </si>
  <si>
    <t>сувенирная продукция</t>
  </si>
  <si>
    <t>38.1.9</t>
  </si>
  <si>
    <t>ПО авторские права</t>
  </si>
  <si>
    <t>38.2.</t>
  </si>
  <si>
    <t>38.2.1.</t>
  </si>
  <si>
    <t>наружная реклама</t>
  </si>
  <si>
    <t>38.2.2.</t>
  </si>
  <si>
    <t>реклама на входной группе</t>
  </si>
  <si>
    <t>38.2.3.</t>
  </si>
  <si>
    <t>реклама на полочном пространстве</t>
  </si>
  <si>
    <t>38.2.4.</t>
  </si>
  <si>
    <t>брендирование торгового зала</t>
  </si>
  <si>
    <t>38.2.5.</t>
  </si>
  <si>
    <t>реклама в кассовой зоне</t>
  </si>
  <si>
    <t>38.2.6.</t>
  </si>
  <si>
    <t>паспорта рекламы</t>
  </si>
  <si>
    <t>38.2.7.</t>
  </si>
  <si>
    <t>проведение исследований</t>
  </si>
  <si>
    <t>38.3.</t>
  </si>
  <si>
    <t xml:space="preserve"> - трейд-маркетинг</t>
  </si>
  <si>
    <t>38.3.1.</t>
  </si>
  <si>
    <t>Ценовые промо (Скидка) (Ай Да цена, Ай да тематические, Черная пятница, Санта бум)</t>
  </si>
  <si>
    <t>38.3.2.</t>
  </si>
  <si>
    <t>Рекламная игра</t>
  </si>
  <si>
    <t>38.3.3.</t>
  </si>
  <si>
    <t>Фишечная акция</t>
  </si>
  <si>
    <t>38.3.4.</t>
  </si>
  <si>
    <t>Тематические акции</t>
  </si>
  <si>
    <t>38.4</t>
  </si>
  <si>
    <t>ИТОГО финансовый результат по маркетинговому бюджету</t>
  </si>
  <si>
    <t>= Доход (37) - Расход (38)</t>
  </si>
  <si>
    <t>Затраты всего</t>
  </si>
  <si>
    <t>= Прямые затраты (7) + Трассированные затраты (13) + Арендная плата внешним арендаторам (33) + Косвенные затраты (35) + Расходы на маркетинг (38)</t>
  </si>
  <si>
    <t>39.1.</t>
  </si>
  <si>
    <t>Финрезультат по деятельности</t>
  </si>
  <si>
    <t>= М2 (36) + ИТОГО финансовый результат по маркетинговому бюджету (38.4)</t>
  </si>
  <si>
    <t>40.1.</t>
  </si>
  <si>
    <t xml:space="preserve">Прочие расходы от операционной деятельности </t>
  </si>
  <si>
    <t>42.1.</t>
  </si>
  <si>
    <t xml:space="preserve">культурно-массовые и оздоровительные мероприятия </t>
  </si>
  <si>
    <t>из 1С + корректировки от ЖелтковичК.</t>
  </si>
  <si>
    <t>из предоставленных данных мы не учитываем затраты на концтовары
из предоставленных данных мы не учитываем затраты на концтовары - они идут на статью 23.1
Желткович Ксения Ивановна</t>
  </si>
  <si>
    <t>42.1.1.</t>
  </si>
  <si>
    <t>Путевки в детские оздоровительные лагеря</t>
  </si>
  <si>
    <t>42.1.2.</t>
  </si>
  <si>
    <t>Расходы на оздор.и культ.-массов.мероприятия</t>
  </si>
  <si>
    <t>42.2.</t>
  </si>
  <si>
    <t>материальная помощь (разовая)</t>
  </si>
  <si>
    <t>Материальная помощь, иные выплаты  не работникам организации</t>
  </si>
  <si>
    <t>42.3.</t>
  </si>
  <si>
    <t>затраты по содержанию КЦ</t>
  </si>
  <si>
    <t>предоставляется из КЦ в разрезе по месяцам (план)</t>
  </si>
  <si>
    <t>42.4.</t>
  </si>
  <si>
    <t>штрафы, пени, неустойки</t>
  </si>
  <si>
    <t>факт / кол-во месяцев</t>
  </si>
  <si>
    <t>42.4.1.</t>
  </si>
  <si>
    <t>Штрафы, пени полученные</t>
  </si>
  <si>
    <t>90.7.2</t>
  </si>
  <si>
    <t>Прочие доходы по текущей деятельности, облагаемые НДС</t>
  </si>
  <si>
    <t>Ставки НДС</t>
  </si>
  <si>
    <t>если сумма приходит с минусом - расходы, если с плюсом - доходы</t>
  </si>
  <si>
    <t>42.4.2.</t>
  </si>
  <si>
    <t>Штрафы,пени,% за польз.деньгами  уплаченные</t>
  </si>
  <si>
    <t>42.4.3.</t>
  </si>
  <si>
    <t>Штрафы,пени, % за польз.деньгами уплаченные не учит при н/о</t>
  </si>
  <si>
    <t>42.4.4.</t>
  </si>
  <si>
    <t>Возмещение за обучение</t>
  </si>
  <si>
    <t>42.5.</t>
  </si>
  <si>
    <t>спонсорская помощь</t>
  </si>
  <si>
    <t>из 1С + в конце каждого квартала сносится сумма спонсорской помощи, которая идёт в учёт налога на недвижимость (от спонс.пом. отнимаем налог на недвиж. за два пред.мес., остаток распред. по уд.весу по магазинам)</t>
  </si>
  <si>
    <t>факт / кол-во месяцев + на декабрь увеличивающий коэффициент. Это помощь не в рамках налога</t>
  </si>
  <si>
    <t>42.5.1.</t>
  </si>
  <si>
    <t>Безвозмездная спонсорская помощь</t>
  </si>
  <si>
    <t>90.7.1.</t>
  </si>
  <si>
    <t>Прочие доходы по текущей деятельности, необлагаемые НДС</t>
  </si>
  <si>
    <t>42.5.2.</t>
  </si>
  <si>
    <t>Оборудование</t>
  </si>
  <si>
    <t>42.5.3.</t>
  </si>
  <si>
    <t>91.4.1</t>
  </si>
  <si>
    <t>Прочие расходы</t>
  </si>
  <si>
    <t>Места харнения ?</t>
  </si>
  <si>
    <t>42.5.4.</t>
  </si>
  <si>
    <t>Строительно-монтажные работы</t>
  </si>
  <si>
    <t>42.5.5.</t>
  </si>
  <si>
    <t>Безвозмездная спонсорская помощь по Указу 191</t>
  </si>
  <si>
    <t>42.6.</t>
  </si>
  <si>
    <t>расходы по магазинам закрытым и сданным в аренду</t>
  </si>
  <si>
    <t>после закрытия месяца в 1С, выгружаются все затраты по определенным магазинам (статьи 8-33)</t>
  </si>
  <si>
    <t>42.7.</t>
  </si>
  <si>
    <t>себст-ть проданных излишков электроэнергии</t>
  </si>
  <si>
    <t xml:space="preserve">из 1С минус амортизация
при формировании приложения 5 от полученных данных в 42.7 отнимаем 16.2. электроэнергия собственная пересчитанная (ручная работа) </t>
  </si>
  <si>
    <t>20.1</t>
  </si>
  <si>
    <t>Основное производство</t>
  </si>
  <si>
    <t>Виды деятельности</t>
  </si>
  <si>
    <t>42.8.</t>
  </si>
  <si>
    <t>из 1С +- корректировки от маркетинга и Есении</t>
  </si>
  <si>
    <t>42.8.1.</t>
  </si>
  <si>
    <t>Услуги по приемке и переработке отходов полимеров</t>
  </si>
  <si>
    <t>42.8.2.</t>
  </si>
  <si>
    <t>Подарки</t>
  </si>
  <si>
    <t>42.8.3.</t>
  </si>
  <si>
    <t>Прочие доходы и расходы, н/у при н/о</t>
  </si>
  <si>
    <t>42.8.4.</t>
  </si>
  <si>
    <t>Резерв по сомнительным долгам</t>
  </si>
  <si>
    <t>42.8.5.</t>
  </si>
  <si>
    <t>Социальные льготы работникам</t>
  </si>
  <si>
    <t>42.8.6.</t>
  </si>
  <si>
    <t>Списание дебиторской задолженности</t>
  </si>
  <si>
    <t>42.8.7.</t>
  </si>
  <si>
    <t>Сравнительная дегустация</t>
  </si>
  <si>
    <t>42.8.8.</t>
  </si>
  <si>
    <t>Услуги покупателям</t>
  </si>
  <si>
    <t>42.8.9.</t>
  </si>
  <si>
    <t>Госпошлина по суду, судебные расходы</t>
  </si>
  <si>
    <t>42.8.10.</t>
  </si>
  <si>
    <t>Компенс-я расх. на фин. работ (услуг) по сод. и эспл. системы монит-га</t>
  </si>
  <si>
    <t>42.8.11.</t>
  </si>
  <si>
    <t>Прочие доходы и расходы, учит.  при н/о</t>
  </si>
  <si>
    <t>42.8.12.</t>
  </si>
  <si>
    <t>Разница между суммой,подл.взыск.и баланс.стоим.ТМЦ</t>
  </si>
  <si>
    <t>42.8.13.</t>
  </si>
  <si>
    <t>Реализация материалов</t>
  </si>
  <si>
    <t>42.8.14.</t>
  </si>
  <si>
    <t>Реализация тары</t>
  </si>
  <si>
    <t>42.8.15.</t>
  </si>
  <si>
    <t>Списание тары, пришедшей в негодность</t>
  </si>
  <si>
    <t>EBITDA</t>
  </si>
  <si>
    <t>= Финрезультат по деятельности (40) + Прочие доходы от операционной деятельности  (41) - Прочие расходы от операционной деятельности  (42)</t>
  </si>
  <si>
    <t>43.1</t>
  </si>
  <si>
    <t>= EBITDA / Выручка (товарооборот) без НДС</t>
  </si>
  <si>
    <t>не планируется
при пересмотре бюджета на второе полугодие вносится факт</t>
  </si>
  <si>
    <t>44.1.1.</t>
  </si>
  <si>
    <t>Проценты к получению по займам выданным</t>
  </si>
  <si>
    <t>91.1.1</t>
  </si>
  <si>
    <t>Прочие доходы, необлагаемые НДС</t>
  </si>
  <si>
    <t>44.1.2.</t>
  </si>
  <si>
    <t>Проценты, причитающиеся к получению (за хранение ден.средств)</t>
  </si>
  <si>
    <t>44.1.3.</t>
  </si>
  <si>
    <t>Услуги депозитариев</t>
  </si>
  <si>
    <t>Места хранения ?</t>
  </si>
  <si>
    <t>из 1С минус Об.сч.91.1.1. по субсчетам 60.1.6., 76.15.4. и тд</t>
  </si>
  <si>
    <t>Курсовые разницы</t>
  </si>
  <si>
    <t>90.7.1</t>
  </si>
  <si>
    <t>Доходы связанные с покупкой валюты</t>
  </si>
  <si>
    <t>44.5.1.</t>
  </si>
  <si>
    <t>Использ. льготы по ФСЗН, в части выплат в пользу участн. студотрядов</t>
  </si>
  <si>
    <t>44.5.2.</t>
  </si>
  <si>
    <t>Подарочные сертификаты частично неотоваренные в срок</t>
  </si>
  <si>
    <t xml:space="preserve">Расходы по финансовой деятельности: </t>
  </si>
  <si>
    <t>Только итог</t>
  </si>
  <si>
    <t>45.1.</t>
  </si>
  <si>
    <t>% расходы по кредитам на создание оборотных активов</t>
  </si>
  <si>
    <t>45.2.</t>
  </si>
  <si>
    <t>% расходы и ставка по возвратному лизингу</t>
  </si>
  <si>
    <t>45.3.</t>
  </si>
  <si>
    <t>отрицательные курсовые разницы</t>
  </si>
  <si>
    <t>из 1С минус Об.сч.91.4.1. по субсчетам 60.1.6., 76.15.4. и тд</t>
  </si>
  <si>
    <t>при пересмотре бюджета на второе полугодие вносится факт
Жук Александр Леонидович</t>
  </si>
  <si>
    <t>44.3.1.</t>
  </si>
  <si>
    <t>Курсовые разницы н/о</t>
  </si>
  <si>
    <t>44.3.2.</t>
  </si>
  <si>
    <t>45.4.</t>
  </si>
  <si>
    <t>45.5.</t>
  </si>
  <si>
    <t>Расходы связанные с покупкой валюты</t>
  </si>
  <si>
    <t>45.6.</t>
  </si>
  <si>
    <t>Итого финансовый результат по финансовой деятельности</t>
  </si>
  <si>
    <t>= Доход (44) - Расход (45)</t>
  </si>
  <si>
    <t xml:space="preserve">Расходы по инвестиционной деятельности: </t>
  </si>
  <si>
    <t>48.1.</t>
  </si>
  <si>
    <t>% расходы по кредитам на создание необор.активов</t>
  </si>
  <si>
    <t>Проценты, причитающиеся к уплате</t>
  </si>
  <si>
    <t>48.2.</t>
  </si>
  <si>
    <t>% расходы по кредитам на создание необор.активов Рековия</t>
  </si>
  <si>
    <t>48.3.</t>
  </si>
  <si>
    <t>% расходы и ставка по финансовому ("прямому") лизингу</t>
  </si>
  <si>
    <t>48.4.</t>
  </si>
  <si>
    <t>расходы от выбытия ОС</t>
  </si>
  <si>
    <t>48.4.1.</t>
  </si>
  <si>
    <t>Выбытие ОС (продажа)</t>
  </si>
  <si>
    <t>91.4.11</t>
  </si>
  <si>
    <t>Прочие расходы (по местам хранения)</t>
  </si>
  <si>
    <t>из 1С минус сноски</t>
  </si>
  <si>
    <t>48.4.2.</t>
  </si>
  <si>
    <t>Выбытие ОС (списание)</t>
  </si>
  <si>
    <t>48.5.</t>
  </si>
  <si>
    <t>48.5.1.</t>
  </si>
  <si>
    <t>Недостача ОС, долгосрочных активов</t>
  </si>
  <si>
    <t>48.5.2.</t>
  </si>
  <si>
    <t>Вознаграждение по банковской гарантии</t>
  </si>
  <si>
    <t>Итого финансовый результат по инвестиционной деятельности</t>
  </si>
  <si>
    <t>= Доход (47) - Расход (48)</t>
  </si>
  <si>
    <t>Налог на прибыль</t>
  </si>
  <si>
    <t>Демянчук Валерий Яковлевич</t>
  </si>
  <si>
    <t>68.3.1</t>
  </si>
  <si>
    <t>Платежи в бюджет</t>
  </si>
  <si>
    <t>NOPAT</t>
  </si>
  <si>
    <t>= 43 + 46 + 49 + 50</t>
  </si>
  <si>
    <t>51.1.</t>
  </si>
  <si>
    <t>Дебиторская задолженность свыше 90 дней всего</t>
  </si>
  <si>
    <t>Справочно</t>
  </si>
  <si>
    <t>в последней версии осталась только амортизация
Демянчук Валерий Яковлевич</t>
  </si>
  <si>
    <t>Амортизация</t>
  </si>
  <si>
    <t>Амортизация НМА</t>
  </si>
  <si>
    <t>Амортизация ОС,НМА</t>
  </si>
  <si>
    <t>90.10.11.</t>
  </si>
  <si>
    <t>Амортизация ОС</t>
  </si>
  <si>
    <t>амортизация ОС, НМА (Рековиа)</t>
  </si>
  <si>
    <t>Амортизация по объектам лизинга</t>
  </si>
  <si>
    <t xml:space="preserve">Затраты на приобретение прав на земельные участки </t>
  </si>
  <si>
    <t>Затраты по вводу магазинов</t>
  </si>
  <si>
    <t xml:space="preserve">% по инвестиционным кредитам и займам </t>
  </si>
  <si>
    <t xml:space="preserve">Курсовые разницы по инвестиционным кредитам и займам </t>
  </si>
  <si>
    <t>Курсовые разницы по инв.проектам</t>
  </si>
  <si>
    <t>РАСЧЕТ НАЛОГА НА ПРИБЫЛЬ</t>
  </si>
  <si>
    <t>Показатели</t>
  </si>
  <si>
    <t>NOPAT до налога на прибыль</t>
  </si>
  <si>
    <t>= 43 + 46 + 49</t>
  </si>
  <si>
    <t>Затраты по вводу</t>
  </si>
  <si>
    <t>Инвествычет</t>
  </si>
  <si>
    <t>Прибыль по бухучету</t>
  </si>
  <si>
    <t>= NOPAT - Амортизация - Затраты по вводу - Инвествычет</t>
  </si>
  <si>
    <t>Изменение отложенных нал. об.</t>
  </si>
  <si>
    <t>Отклонение начисл. и оплач. ТП</t>
  </si>
  <si>
    <t>Расходы не участвующие при налогообложении</t>
  </si>
  <si>
    <t>Налогооблагаемая прибыль</t>
  </si>
  <si>
    <t>= Прибыль по бухучету + Изменение отложенных нал. об. + Отклонение начисл. и оплач. ТП + Расходы не участвующие при налогообложении</t>
  </si>
  <si>
    <t>Налог на прибыль 25%</t>
  </si>
  <si>
    <t>38.</t>
  </si>
  <si>
    <t>Статьи затрат маркетингового и рекламного бюджета на 2026 год</t>
  </si>
  <si>
    <t>- маркетинг</t>
  </si>
  <si>
    <t>Группа статей бюджета</t>
  </si>
  <si>
    <t>Статья бюджета</t>
  </si>
  <si>
    <t>Подстатья</t>
  </si>
  <si>
    <t>Элемент затрат</t>
  </si>
  <si>
    <t>код статьи</t>
  </si>
  <si>
    <t>Упр статья бюджета</t>
  </si>
  <si>
    <t>MARKETING</t>
  </si>
  <si>
    <t>статья в Ф5</t>
  </si>
  <si>
    <t xml:space="preserve">                                                                                                                 РЕКЛАМА</t>
  </si>
  <si>
    <t>ТВ</t>
  </si>
  <si>
    <t>Имидж</t>
  </si>
  <si>
    <t>38.1.1</t>
  </si>
  <si>
    <t xml:space="preserve">размещение рекламы </t>
  </si>
  <si>
    <t>44.2</t>
  </si>
  <si>
    <t>Расходы на реализацию в торговле</t>
  </si>
  <si>
    <t>SMM</t>
  </si>
  <si>
    <t>нет данных на 2026</t>
  </si>
  <si>
    <t>Интернет</t>
  </si>
  <si>
    <t>Программа лояльности</t>
  </si>
  <si>
    <t>Instagram продвижение</t>
  </si>
  <si>
    <t>брендинг и дизайн</t>
  </si>
  <si>
    <t>TikTok продвижение</t>
  </si>
  <si>
    <t>Радио</t>
  </si>
  <si>
    <t>Наружка</t>
  </si>
  <si>
    <t>Наружная реклама (город)</t>
  </si>
  <si>
    <t>38.1.9.</t>
  </si>
  <si>
    <t>ПО Авторские права</t>
  </si>
  <si>
    <t>Наружная реклама (баннеры)</t>
  </si>
  <si>
    <t>- реклама</t>
  </si>
  <si>
    <t>Наружная реклама (паспорта)</t>
  </si>
  <si>
    <t>Рассылки Вайбер/СМС/e:mail</t>
  </si>
  <si>
    <t>Опросы</t>
  </si>
  <si>
    <t>Открытия ТО</t>
  </si>
  <si>
    <t>Производство рекламы</t>
  </si>
  <si>
    <t>Разработка креатива</t>
  </si>
  <si>
    <t>38.1.2</t>
  </si>
  <si>
    <t>TikTok</t>
  </si>
  <si>
    <t>Продакшен</t>
  </si>
  <si>
    <t>Имидж ТВ</t>
  </si>
  <si>
    <t>- трейд-маркетинг</t>
  </si>
  <si>
    <t>Имидж Интернет</t>
  </si>
  <si>
    <t>Амбасадорство</t>
  </si>
  <si>
    <t>SMM/Instagram/Договоры с актерами</t>
  </si>
  <si>
    <t>SMM/Instagram/Аренда студии, локации, реквизит, продукты</t>
  </si>
  <si>
    <t>SMM/Instagram/Блогеры -универсалы (заготовки)</t>
  </si>
  <si>
    <t>SMM/TikTok/Договоры с актерами</t>
  </si>
  <si>
    <t>SMM/TikTok/Аренда студии, локации, реквизит, продукты</t>
  </si>
  <si>
    <t>SMM/TikTok/Блогеры</t>
  </si>
  <si>
    <t>Блогеры</t>
  </si>
  <si>
    <t>38.1.4</t>
  </si>
  <si>
    <t>Праздничные открытия ТО</t>
  </si>
  <si>
    <t>Мастер-классы</t>
  </si>
  <si>
    <t>Семплинг</t>
  </si>
  <si>
    <t>СМИ, паблики, порталы</t>
  </si>
  <si>
    <t xml:space="preserve">                          МАРКЕТИНГ</t>
  </si>
  <si>
    <t>МАРКЕТИНГ</t>
  </si>
  <si>
    <t>Товарные знаки</t>
  </si>
  <si>
    <t>Модерация карт</t>
  </si>
  <si>
    <t>Музыка</t>
  </si>
  <si>
    <t>Маркетинговые исследования</t>
  </si>
  <si>
    <t>Бренд-трекинг</t>
  </si>
  <si>
    <t>38.1.5</t>
  </si>
  <si>
    <t>ОРМ</t>
  </si>
  <si>
    <t>Замер имиджа</t>
  </si>
  <si>
    <t>Качественные и количественные исследования по запросу</t>
  </si>
  <si>
    <t>Брендинг и дизайн</t>
  </si>
  <si>
    <t>Разработка дизайна для продукции СП</t>
  </si>
  <si>
    <t>38.1.6</t>
  </si>
  <si>
    <t>Разработка сайта компании</t>
  </si>
  <si>
    <t xml:space="preserve">Корпоративный брендинг </t>
  </si>
  <si>
    <t>Стимулирование покупателей</t>
  </si>
  <si>
    <t>Праздничные мероприятия</t>
  </si>
  <si>
    <t>38.1.7</t>
  </si>
  <si>
    <t>Праздничные открытия магазинов</t>
  </si>
  <si>
    <t>Сувенирная продукция</t>
  </si>
  <si>
    <t>38.1.8</t>
  </si>
  <si>
    <t>Мерчбук</t>
  </si>
  <si>
    <t>OPERATION (30.8.1.)</t>
  </si>
  <si>
    <t>ПЕЧАТНАЯ ПРОДУКЦИЯ</t>
  </si>
  <si>
    <t>Квартальная заявка</t>
  </si>
  <si>
    <t>Стопперы/шелфтокеры</t>
  </si>
  <si>
    <t>Плакаты</t>
  </si>
  <si>
    <t>Бланки</t>
  </si>
  <si>
    <t>Наклейки</t>
  </si>
  <si>
    <t>Оформление корзин</t>
  </si>
  <si>
    <t>Х-баннера</t>
  </si>
  <si>
    <t>Оформление магазинов</t>
  </si>
  <si>
    <t>новогоднее оформление магазинов</t>
  </si>
  <si>
    <t>Паспорта рекламы</t>
  </si>
  <si>
    <t>Паспорта рекламы-вывески</t>
  </si>
  <si>
    <t>Паспорта рекламы-баннеры</t>
  </si>
  <si>
    <t>Трейд-маркетинг</t>
  </si>
  <si>
    <t>Ай да цена (поддержка магазинов МПВ)</t>
  </si>
  <si>
    <t>Лояльность</t>
  </si>
  <si>
    <t>Замена карт/рассылка</t>
  </si>
  <si>
    <t>TRADE MARKETING</t>
  </si>
  <si>
    <t>ЦЕНОВЫЕ ПРОМО</t>
  </si>
  <si>
    <t>Ай Да Цена</t>
  </si>
  <si>
    <t>Производство листовки</t>
  </si>
  <si>
    <t>38.3.1</t>
  </si>
  <si>
    <t>ценовые промо (скидка)</t>
  </si>
  <si>
    <t>Производство плакатов</t>
  </si>
  <si>
    <t>Размещение плакатов (логистика печатной продукции)</t>
  </si>
  <si>
    <t>Рассылки Вайбер/СМС</t>
  </si>
  <si>
    <t>Санта шок</t>
  </si>
  <si>
    <t>Производсво рекламы</t>
  </si>
  <si>
    <t>Производство рекламы (ТВ + digital)</t>
  </si>
  <si>
    <t>Размещение рекламы на ТВ</t>
  </si>
  <si>
    <t>Digital</t>
  </si>
  <si>
    <t>PR / Блогеры</t>
  </si>
  <si>
    <t>PR / СМИ, паблики, порталы</t>
  </si>
  <si>
    <t>FRESH</t>
  </si>
  <si>
    <t>Рыбные дни</t>
  </si>
  <si>
    <t>Особое предложение</t>
  </si>
  <si>
    <t>РЕКЛАМНАЯ ИГРА</t>
  </si>
  <si>
    <t>Призовой фонд</t>
  </si>
  <si>
    <t>38.3.2</t>
  </si>
  <si>
    <t>рекламная игра</t>
  </si>
  <si>
    <t>Производство POSM</t>
  </si>
  <si>
    <t>ТЕМАТИЧЕСКИЕ АКЦИИ</t>
  </si>
  <si>
    <t>Фишечные акции</t>
  </si>
  <si>
    <t>38.3.4</t>
  </si>
  <si>
    <t>тематические акции</t>
  </si>
  <si>
    <t>Акции лояльности</t>
  </si>
  <si>
    <t>Разработка страницы сайта</t>
  </si>
  <si>
    <t>Реклама</t>
  </si>
  <si>
    <t>РЕКЛАМА</t>
  </si>
  <si>
    <t>Наружная реклама</t>
  </si>
  <si>
    <t>Реклама на входной группе</t>
  </si>
  <si>
    <t>Брендирование входных дверей</t>
  </si>
  <si>
    <t>Антикражные ворота</t>
  </si>
  <si>
    <t>Плакаты в клик-системах</t>
  </si>
  <si>
    <t>Реклама на входных воротах и планшетах</t>
  </si>
  <si>
    <t>Ролл-апов, ростовых фигур</t>
  </si>
  <si>
    <t>Рекламные стойки</t>
  </si>
  <si>
    <t>Реклама на полочном пространстве</t>
  </si>
  <si>
    <t>Шелфбаннер</t>
  </si>
  <si>
    <t>Шелфтокер или бренд-лента</t>
  </si>
  <si>
    <t>Воблер</t>
  </si>
  <si>
    <t>Стоппер</t>
  </si>
  <si>
    <t>Реклама в торговом зале</t>
  </si>
  <si>
    <t>Брендирование торцов</t>
  </si>
  <si>
    <t>Реклама на покупательской тележке</t>
  </si>
  <si>
    <t>Реклама в покупательских корзинах</t>
  </si>
  <si>
    <t>Аудиоролики</t>
  </si>
  <si>
    <t>Реклама в кассовой зоне</t>
  </si>
  <si>
    <t>Подвесной плакат-топпер</t>
  </si>
  <si>
    <t>Стикер на кассовый стол</t>
  </si>
  <si>
    <t>Кассовая лента</t>
  </si>
  <si>
    <t>Размещение на арендованых ТВ в ТЗ</t>
  </si>
  <si>
    <t>Размещение на собственных ТВ в ТЗ</t>
  </si>
  <si>
    <t>Реклама на КСО</t>
  </si>
  <si>
    <t>Размещение POS на кассах</t>
  </si>
  <si>
    <t>Печать рекламы на чеках</t>
  </si>
  <si>
    <t>Раздача POS кассирами</t>
  </si>
  <si>
    <t>Проведение исследований</t>
  </si>
  <si>
    <t>Анкетирования в торговом зале</t>
  </si>
  <si>
    <t>1s</t>
  </si>
  <si>
    <t/>
  </si>
  <si>
    <t>0x9DBA003BEFA5D24A47F172DAA4A6C1E2</t>
  </si>
  <si>
    <t>0x910CD90935954B1E4386661D8D16EA59</t>
  </si>
  <si>
    <t>0xA4660BD7C4ABD571468FF0D5A3C93874</t>
  </si>
  <si>
    <t>0x8FF531BD22B330A14B4CE36EBBA9E101</t>
  </si>
  <si>
    <t>0xB60F329ED1E4F7DD4C0779887DF7EBFC</t>
  </si>
  <si>
    <t>0xA9F84C1507A57E364EBE778D975D8B6F</t>
  </si>
  <si>
    <t>0x9E4EA3689F5F70BB4F44F014542BFF1A</t>
  </si>
  <si>
    <t>0xA5DF6FC866F5FDAA4F49260046E63FA5</t>
  </si>
  <si>
    <t>0x80BE000C297C790011EA49A3B8DC853F</t>
  </si>
  <si>
    <t>0x80BE000C297C790011EA4A35E0478247</t>
  </si>
  <si>
    <t>0x80BE000C297C790011EA4E3B52CB0A63</t>
  </si>
  <si>
    <t>0x80BE000C297C790011EA4EED45A9C334</t>
  </si>
  <si>
    <t>0x80BE000C297C790011EA4EED45A9C33F</t>
  </si>
  <si>
    <t>0x80BE000C297C790011EA555273A2F449</t>
  </si>
  <si>
    <t>0x80BE000C297C790011EA555273A2F44C</t>
  </si>
  <si>
    <t>0x80BE000C297C790011EA555273A2F44E</t>
  </si>
  <si>
    <t>0x80BE000C297C790011EA555273A2F450</t>
  </si>
  <si>
    <t>0x80BE000C297C790011EA555273A2F45E</t>
  </si>
  <si>
    <t>0x80BE000C297C790011EA555273A2F463</t>
  </si>
  <si>
    <t>0x80BE000C297C790011EA555273A2F469</t>
  </si>
  <si>
    <t>0x80BE000C297C790011EA555273A2F46D</t>
  </si>
  <si>
    <t>0x80BE000C297C790011EA555273A2F46F</t>
  </si>
  <si>
    <t>0x80BE000C297C790011EA555273A2F475</t>
  </si>
  <si>
    <t>0x80BE000C297C790011EA55623980170F</t>
  </si>
  <si>
    <t>0x80BE000C297C790011EA556239801711</t>
  </si>
  <si>
    <t>0x80BE000C297C790011EA556239801713</t>
  </si>
  <si>
    <t>0x80BE000C297C790011EA556239801716</t>
  </si>
  <si>
    <t>0x80BE000C297C790011EA556239801719</t>
  </si>
  <si>
    <t>0x80BE000C297C790011EA55623980171C</t>
  </si>
  <si>
    <t>0x80BE000C297C790011EA55623980171F</t>
  </si>
  <si>
    <t>0x80BE000C297C790011EA556239801725</t>
  </si>
  <si>
    <t>0x80BE000C297C790011EA556239801728</t>
  </si>
  <si>
    <t>0x80BE000C297C790011EA556239801734</t>
  </si>
  <si>
    <t>0x80BE000C297C790011EA5F90D804A231</t>
  </si>
  <si>
    <t>0x80BE000C297C790011EA5F90D804A233</t>
  </si>
  <si>
    <t>0x80BF000C297C790011EA6E5EEA89F3F5</t>
  </si>
  <si>
    <t>0x80BF000C297C790011EA984335160751</t>
  </si>
  <si>
    <t>0x80C4000C297C790011EAB15B5129A799</t>
  </si>
  <si>
    <t>0x80C4000C297C790011EAB15B5129A7A4</t>
  </si>
  <si>
    <t>0x80CE000C297C790011EB1DC9332D3DDD</t>
  </si>
  <si>
    <t>0x80D9005056837C1D11EB3A45BB470AC8</t>
  </si>
  <si>
    <t>0x80DB005056837C1D11EB3F8643BC801E</t>
  </si>
  <si>
    <t>0x843A00505683949511EB9522BF9A586F</t>
  </si>
  <si>
    <t>0x843E00505683949511EC32FE40E24E9E</t>
  </si>
  <si>
    <t>0x844500505683949511ED067E5841E703</t>
  </si>
  <si>
    <t>0x844D00505683949511ED673AFF8AA274</t>
  </si>
  <si>
    <t>0x845300505683949511EDB12CC44F662C</t>
  </si>
  <si>
    <t>0x845300505683949511EDC3C839184818</t>
  </si>
  <si>
    <t>0x845400505683949511EDCF8C23B578D9</t>
  </si>
  <si>
    <t>0x845D00505683949511EE14AB46D98A2C</t>
  </si>
  <si>
    <t>0x845D00505683949511EE14AB46D98A2D</t>
  </si>
  <si>
    <t>0x846100505683949511EE3BFC530F6A1F</t>
  </si>
  <si>
    <t>0x846100505683949511EE5171448FB995</t>
  </si>
  <si>
    <t>0x846400505683949511EE81F3A88A3B20</t>
  </si>
  <si>
    <t>0x846400505683949511EE850F1A671E7D</t>
  </si>
  <si>
    <t>0x846B00505683949511EF767F42C583B8</t>
  </si>
  <si>
    <t>0x846B00505683949511EFA3DBD402C4BC</t>
  </si>
  <si>
    <t>0x846B00505683949511EFA58F67987D74</t>
  </si>
  <si>
    <t>0x846C00505683949511EFE910E8AF7B0F</t>
  </si>
  <si>
    <t>0x846C00505683949511F0056135770117</t>
  </si>
  <si>
    <t>0xB81EC8FE6572AFE44B02CB88C1D1326B</t>
  </si>
  <si>
    <t>0x99F165FD7B3F9CCE496E97BF5F0BFF3C</t>
  </si>
  <si>
    <t>0xA4548791FA2C95304693E1E7DCE1C919</t>
  </si>
  <si>
    <t>0x90EE62FA45CDC994437E326C34873CB9</t>
  </si>
  <si>
    <t>0x9553CF294195952B4D868C757088A671</t>
  </si>
  <si>
    <t>0x9EE395673277E8844F79775D869C3026</t>
  </si>
  <si>
    <t>0xA4BF440F2D7B019B4F26CBFDF2C9D1E8</t>
  </si>
  <si>
    <t>0xBD47A6A26799A5BE4AF5A63CE9C116BF</t>
  </si>
  <si>
    <t>0x901AE35D5E9B6CA14846B685FF71682C</t>
  </si>
  <si>
    <t>0x9297568081808300402183F53BBBC6AF</t>
  </si>
  <si>
    <t>0x9188CEA394D5FC694099D1C2E6F7FC62</t>
  </si>
  <si>
    <t>0x878E6D95AD99775C467077B3668A3727</t>
  </si>
  <si>
    <t>0xAF115AAE47BF879744B5076971D9EAA8</t>
  </si>
  <si>
    <t>0xAAFA2B985CF05BDD4F761E96CC03F7C0</t>
  </si>
  <si>
    <t>0x9B7AA9E12C1FD95545BBDBCA89A6CB0A</t>
  </si>
  <si>
    <t>0x940C48BC4D9F645149FE45E53118DADC</t>
  </si>
  <si>
    <t>0xA5ED889B70CAF2C24DB3201D4AA0F5A1</t>
  </si>
  <si>
    <t>0xBD1F80CE81A346FE4A284A3EA6372E79</t>
  </si>
  <si>
    <t>0xBC7748ED474723254772270919C65A51</t>
  </si>
  <si>
    <t>0x853075B8E671AA3E45FA2C92AA82E23B</t>
  </si>
  <si>
    <t>0xA24E4F932F4DC006401DD5C7F8541E88</t>
  </si>
  <si>
    <t>0xB22F85546590634243D68814E1A95A5A</t>
  </si>
  <si>
    <t>0x816069D8B902CC394D5799A727150D06</t>
  </si>
  <si>
    <t>0x8A92F33EB200648F42E553F43B9BA688</t>
  </si>
  <si>
    <t>0xA47FE52D6622B9764AB896617B877076</t>
  </si>
  <si>
    <t>0x8A3C162B83B264FD426D14E79D737787</t>
  </si>
  <si>
    <t>0xA4F100155D48140D11E8FC7FBD35E722</t>
  </si>
  <si>
    <t>0xA4F100155D48140D11E8FC7FBD35E721</t>
  </si>
  <si>
    <t>0xA4F100155D48140D11E8FC7FBD35E71F</t>
  </si>
  <si>
    <t>0x958E1CD47AE8FDCA46C98187D6D9D887</t>
  </si>
  <si>
    <t>0x8407B9F1600A56BD49972536C94C5E47</t>
  </si>
  <si>
    <t>0x8568EA5F9730F8264C66636F1C3E52CE</t>
  </si>
  <si>
    <t>0xB9143CFBF0E5C290472DBE02ED012305</t>
  </si>
  <si>
    <t>0xA25DFE96C354A28343204ED4C423229A</t>
  </si>
  <si>
    <t>0x90D8568D637C552844A4A4C8925C7393</t>
  </si>
  <si>
    <t>0xA731BA4AAC754DB3438584C327DDE262</t>
  </si>
  <si>
    <t>0xB95F517EEEE041DF450FF992AC32C660</t>
  </si>
  <si>
    <t>0x9832CEF16E3DE9FB4A7B07BBEE3AB74B</t>
  </si>
  <si>
    <t>0x9F55FC7FB108FD6B4B8B5065C732DA05</t>
  </si>
  <si>
    <t>0xB4202AFC7CF8779449F170EE194F7B0F</t>
  </si>
  <si>
    <t>0x8C59FF11A4AC0C8145B14234AA03F406</t>
  </si>
  <si>
    <t>0x923FF1FF1B84DAB1479506938D655C43</t>
  </si>
  <si>
    <t>0x8896287FA5E02B88478348B0FF487E79</t>
  </si>
  <si>
    <t>0xA028E5B606CF1516451BE641995AD6E6</t>
  </si>
  <si>
    <t>0x9DCF80855453961B41053131C14EFCA2</t>
  </si>
  <si>
    <t>0x9FB46F5139564A4E499D01B86BDAEB50</t>
  </si>
  <si>
    <t>0x999851A53C84C967421EBEC2E5B5F290</t>
  </si>
  <si>
    <t>0x97C2167EA75007BC4FAC30D4BA89F22A</t>
  </si>
  <si>
    <t>0xA0604469E718438C481037D531C230E8</t>
  </si>
  <si>
    <t>0x9FD30C73710A53BF4CFD6ECE62A457F6</t>
  </si>
  <si>
    <t>0xA77C0F5B50988D5248422570B41455C2</t>
  </si>
  <si>
    <t>0x925C19E3DE59EBF84DD907621EDA974B</t>
  </si>
  <si>
    <t>0x8BB4CF53CD2C9F5C49452B7BEBCE7D99</t>
  </si>
  <si>
    <t>0x81A3D00983A5F47140789309E962AA4D</t>
  </si>
  <si>
    <t>0xBF3905E3E21D5C20477B297B9C0E306A</t>
  </si>
  <si>
    <t>0xB6A9FFB65B0683094512C7D5321FACB4</t>
  </si>
  <si>
    <t>0x9648E303E5E4DB3640954AB0E5FDBE99</t>
  </si>
  <si>
    <t>0xA31400196F276645436B5E870037EDD3</t>
  </si>
  <si>
    <t>0x93DAAD635755F5E34B4BFFE0AE55F64C</t>
  </si>
  <si>
    <t>0xA853F81D4D626B16431508DBC9129E6C</t>
  </si>
  <si>
    <t>0xA33918AADE026DBC434B89E254978F67</t>
  </si>
  <si>
    <t>0xA7954EE02EA369BB450053FF3AC6D687</t>
  </si>
  <si>
    <t>0x90B4E55417F4EFC442394ECFBB74365E</t>
  </si>
  <si>
    <t>0x847200505683949511F08C9BAF44A758</t>
  </si>
  <si>
    <t>0x849D21E95467A43144EFA0F1A8C20308</t>
  </si>
  <si>
    <t>0xA309EFFB9E633A424DE50DD0A0F61CC2</t>
  </si>
  <si>
    <t>0xA72D27EB5CB750504EC3DFEAE236E14D</t>
  </si>
  <si>
    <t>0xBC06D010C01E4FD245E477701A83261D</t>
  </si>
  <si>
    <t>0x9AD898A3F0ED07664875CCADED3E8D4F</t>
  </si>
  <si>
    <t>0xACC414988FCD96E84C9D2BC4D951601A</t>
  </si>
  <si>
    <t>0xA701FB5CF67321E9413E2209D8FB4116</t>
  </si>
  <si>
    <t>0xABD2FFEB00AC139343F08FD72D3061A9</t>
  </si>
  <si>
    <t>0xA26CC14E2C7EF2194E79183A1AE93980</t>
  </si>
  <si>
    <t>0xB85601A4C0D377FA4EF10CC5F556737C</t>
  </si>
  <si>
    <t>0x9DFE9BBA6D828CD040F8038C31A5DA97</t>
  </si>
  <si>
    <t>0x8BCE70D42B7A1BDF4289B8F821259826</t>
  </si>
  <si>
    <t>0x8AAF355CEA000C7044021BB2803172C6</t>
  </si>
  <si>
    <t>0x8F24F9D504C5AADA46EC8AE13878F788</t>
  </si>
  <si>
    <t>0xB2619DAA4D449C9945307852A6A38A52</t>
  </si>
  <si>
    <t>0x8E3AB94310F09FCC4F9980C173324E8F</t>
  </si>
  <si>
    <t>0x826A4EB181D08278431D7BFC7EC8DDA1</t>
  </si>
  <si>
    <t>0xBE11FCE931F31D1B47E759EB81DC4CBB</t>
  </si>
  <si>
    <t>0xABB343D498E566544A7EAD6DBE19F8F6</t>
  </si>
  <si>
    <t>0x86FB91AD53FD54A04D1413C1AE01AFD8</t>
  </si>
  <si>
    <t>0x9CA8454F4885374B4F0E8AAFD378A562</t>
  </si>
  <si>
    <t>0x8E584FC47F0577F341AB0347BBA46664</t>
  </si>
  <si>
    <t>0x944868700DA8109C45A8C549DAD75E57</t>
  </si>
  <si>
    <t>0xBC3DDD7A29BF1F0C4CD30BDF2F0058DF</t>
  </si>
  <si>
    <t>0xAAC8F0CB4CDCA9154177F2C9F6E25823</t>
  </si>
  <si>
    <t>0x99E4498C3BA44B004B0E858CFD8AA380</t>
  </si>
  <si>
    <t>0x84E69690E5BFF8C74BF31DC7FEB11AEE</t>
  </si>
  <si>
    <t>0xB89C394CED5C65514ABC7CE5D6D416B8</t>
  </si>
  <si>
    <t>0xB83D7EBD82C5DB8B4E46403B6167873E</t>
  </si>
  <si>
    <t>0x9BCDE07E91D1959C45FCD0B63CC44E48</t>
  </si>
  <si>
    <t>0x81AB99E7C97CB0E04A71F48802484509</t>
  </si>
  <si>
    <t>0x8149CCC23F9C2F3342780ECC9F49746D</t>
  </si>
  <si>
    <t>0x98A7F5F6E34C9A2E440D86D9F7B59703</t>
  </si>
  <si>
    <t>0xB9CA636BCBF3BC3A47FB0AAFE6407452</t>
  </si>
  <si>
    <t>0xBECBDC8BEBA37FC0460C81370694FD9D</t>
  </si>
  <si>
    <t>0xA5DBB56A211E842A4E9FF1A0A52D3922</t>
  </si>
  <si>
    <t>0xB528FECBC9E8B1EC4CD557929FAA9A3E</t>
  </si>
  <si>
    <t>0xB8A9825DD2B13B524F31049E5628846A</t>
  </si>
  <si>
    <t>0x84EA19E9C93D5CAD495FD90F7E183A03</t>
  </si>
  <si>
    <t>0x846100505683949511EE4C7AE475C750</t>
  </si>
  <si>
    <t>0xAD2D64A78E245596435B0AB0A6B6ECEE</t>
  </si>
  <si>
    <t>0xBE2D349E5B8E3EFC451A1DFC87F3329F</t>
  </si>
  <si>
    <t>0xAEAEAD70F47C488241439C2173785E73</t>
  </si>
  <si>
    <t>0x96453495AA80E385471C80FF0523C087</t>
  </si>
  <si>
    <t>0xBA11B92AF2084AA44C647420572E84E8</t>
  </si>
  <si>
    <t>0x9B6ED87282948A81410C803007539AAE</t>
  </si>
  <si>
    <t>0x8297C64DB8740D5C4F72E54C23FA0EDA</t>
  </si>
  <si>
    <t>0x8B26CCF07D84FC9441F0931FAB522230</t>
  </si>
  <si>
    <t>0x9D8D15933C4CBB254413A8474B133841</t>
  </si>
  <si>
    <t>0x9739EF130F05D36A46ECCA11117D9390</t>
  </si>
  <si>
    <t>0xA4C14D75117EFB9D454252C5B40E4F27</t>
  </si>
  <si>
    <t>0xBAE0D3628A9FD96547D772FAAB65B5C9</t>
  </si>
  <si>
    <t>0x945F4F83A24EBEBE4EF05FE5D4F3931C</t>
  </si>
  <si>
    <t>0x85EBF79F0D1BA9D8406B640704ABE041</t>
  </si>
  <si>
    <t>0xA5371D97761FC0434BBD1DB7DBFE40E5</t>
  </si>
  <si>
    <t>0xA13ED1705F7E52594D331353A750A0DD</t>
  </si>
  <si>
    <t>0x95BD590C4EECB28A43633F397B8948C9</t>
  </si>
  <si>
    <t>0xA2E0238293C1917E4A8154A5586AAC92</t>
  </si>
  <si>
    <t>0xBE01302A2338605A44BAC8434FAE400D</t>
  </si>
  <si>
    <t>0xB7AA0486D90AA40540D9CD8388AB89A2</t>
  </si>
  <si>
    <t>0xB2BB5AD20DA512154D0D53E246DAF297</t>
  </si>
  <si>
    <t>0x96F11CE5C053CFF24DD15987E0696F5C</t>
  </si>
  <si>
    <t>0xABF423717CCF869742D827835DB3B0DD</t>
  </si>
  <si>
    <t>0xB7518D32BBCA15F74107CD49891A6A37</t>
  </si>
  <si>
    <t>0xB86B16780422838342EEBBCDD4F63D55</t>
  </si>
  <si>
    <t>0x91C0C90238807E264FE4E16B12A6F784</t>
  </si>
  <si>
    <t>0x967F06B5E0BEA132404B86EF70F611D5</t>
  </si>
  <si>
    <t>0x846B00505683949511EF75AB026030A3</t>
  </si>
  <si>
    <t>0x846B00505683949511EF75AB026030A2</t>
  </si>
  <si>
    <t>0x811741C64993DAE947A598F1535600AC</t>
  </si>
  <si>
    <t>0x889086D9341DA04D41D76939EDE55829</t>
  </si>
  <si>
    <t>0x8E0BB15967384E4D440F257C88544FD0</t>
  </si>
  <si>
    <t>0x9EC657C6818A18E6405E85F552D46314</t>
  </si>
  <si>
    <t>0xB7A7C6EB6017D9DF446F0E3604326910</t>
  </si>
  <si>
    <t>0xB182676C69FC0F39494F7EA5A680027B</t>
  </si>
  <si>
    <t>0x8F2552148DC6435C4C923D7800EFA09E</t>
  </si>
  <si>
    <t>0xA56124670AC8380D4B1E388C927D355D</t>
  </si>
  <si>
    <t>0x837B927A4F55571A4A27FABEA87C5347</t>
  </si>
  <si>
    <t>0x98895CE037A3514449E3015BE8E2520D</t>
  </si>
  <si>
    <t>0x93F288AE6D4C68574372C0F9C8D4AECF</t>
  </si>
  <si>
    <t>0xA898CA1DC12A258942E410F64ECA5DAD</t>
  </si>
  <si>
    <t>0xB1755C26D5B780DE4ABDBE81E9716C5B</t>
  </si>
  <si>
    <t>0x8DD6A57D2B89049641D247A9E3685E0A</t>
  </si>
  <si>
    <t>0x925C8CFB99A5AD61439F38F01D26F311</t>
  </si>
  <si>
    <t>0xA121061CE42714B74215F6D840F52C72</t>
  </si>
  <si>
    <t>0xA61284850BAD2DA04CFA21971F1905D2</t>
  </si>
  <si>
    <t>0x828193BF61D0CBEB4276EB78A226075C</t>
  </si>
  <si>
    <t>0x8EC5AF51AC794A724A269D56ADAB4E34</t>
  </si>
  <si>
    <t>0x963876AFA5FBC5E54EC86E4F656FE649</t>
  </si>
  <si>
    <t>0x9716640600186D9E491F7C9A3800CCBC</t>
  </si>
  <si>
    <t>0x84DAFD22031AD5EE479ADFC2047ED5E1</t>
  </si>
  <si>
    <t>0x8CC470046A00E78E4D6BA29036F12D12</t>
  </si>
  <si>
    <t>0xBD4AAFB406D6E4544F279AAD7DB03370</t>
  </si>
  <si>
    <t>0x8C4880259B222CBD40F706955B100518</t>
  </si>
  <si>
    <t>0xB59DB7C80DA436E1422F57EE1B89A336</t>
  </si>
  <si>
    <t>0x8D6ECB8F7ABC76914F5E0E3B7849062E</t>
  </si>
  <si>
    <t>0xB84BFD34961947EF421DF6C81C54809B</t>
  </si>
  <si>
    <t>0x941B460EB105B5EA474F94DEECE8C233</t>
  </si>
  <si>
    <t>0x91601D2ECD97D7FD44E4335DF0B72FF1</t>
  </si>
  <si>
    <t>0xB22E7B152942EEBB4A6CDF46B0E1FC3F</t>
  </si>
  <si>
    <t>0x926EB9ECB39EB45D4DA26316988E8FF0</t>
  </si>
  <si>
    <t>0xA76E06E6FA18836946D096221FA7C196</t>
  </si>
  <si>
    <t>0x9D031687AFC7C08249EB8EAAC431FF97</t>
  </si>
  <si>
    <t>0x9F1CF3272FB1E1244F465CF8F98599EC</t>
  </si>
  <si>
    <t>0x9F7336EDE51B7D5642C012711638A41C</t>
  </si>
  <si>
    <t>0x872E292D7F46C4914E6B68D841102201</t>
  </si>
  <si>
    <t>0xAE704FCD56B57264439BBA421D56761A</t>
  </si>
  <si>
    <t>0xA6934180421ACFFB40E70241423F515B</t>
  </si>
  <si>
    <t>0x8FCB6E1F5160FC6C4D204A2FE1F40E3A</t>
  </si>
  <si>
    <t>0xBE5E4A2A26D1C9344D62A43FF0CEC6B0</t>
  </si>
  <si>
    <t>0xA737B7A856F8B01749A93F7B6BC2A191</t>
  </si>
  <si>
    <t>0x8C45257E41A36EBF4C43AE37EB857002</t>
  </si>
  <si>
    <t>0x91CB6FFEB4977B2C472EC281F0CFC7BE</t>
  </si>
  <si>
    <t>0x9CF74A77E89590C741B05629A8E42996</t>
  </si>
  <si>
    <t>0x8034539DA1385EA64EF216DEFCF2659C</t>
  </si>
  <si>
    <t>0x827C8C04F05A405044462BA78BDD596A</t>
  </si>
  <si>
    <t>0xBFD9000D4A99C9CD495D90A1C01DB3ED</t>
  </si>
  <si>
    <t>0xA24E5E433FA77409447D71B243EB86B6</t>
  </si>
  <si>
    <t>0xA25892BCC2CD28BC4CD5DF83DE4D1607</t>
  </si>
  <si>
    <t>0xB336425581D8FEFA44204E5114B5DA4D</t>
  </si>
  <si>
    <t>0xABD2B8E7E6B789CD4F0AEEB0994A63E2</t>
  </si>
  <si>
    <t>0xAC9DF253FBA41DDF4F27868A319F439F</t>
  </si>
  <si>
    <t>0xB6C8C018582E998145CBCF8DBC3593EE</t>
  </si>
  <si>
    <t>0xB897B7BE6AED6A9A4DEFA8CC0D2A92CD</t>
  </si>
  <si>
    <t>0xBCD3013E340E0E424126BA69263B434B</t>
  </si>
  <si>
    <t>0xB069A42E9E6B2BF94CCA611B95F00047</t>
  </si>
  <si>
    <t>0xB28FB1C31F3AB357412681B54856078F</t>
  </si>
  <si>
    <t>0xBB9EAAAD4391197945D27290FA01F67C</t>
  </si>
  <si>
    <t>0xA2A839F9399D755543FD4FE4A6EFE2C1</t>
  </si>
  <si>
    <t>0xAEC8E2617EE9857E4504CA2BB7C3BBB0</t>
  </si>
  <si>
    <t>0xA7DE862B015DC04442C5CDD6BB199BED</t>
  </si>
  <si>
    <t>0x8A2DDDE2A4B6BC594DD1774F90C1A75B</t>
  </si>
  <si>
    <t>0x9BCCDDEC27BA17CC43FA2451ED29A862</t>
  </si>
  <si>
    <t>0xA32BC3850B6578C5427DFF82504C5351</t>
  </si>
  <si>
    <t>0x80BE000C297C790011EA4832A5B5184D</t>
  </si>
  <si>
    <t>0xBE8E2F8D68B92A554ACD1084A60A8A34</t>
  </si>
  <si>
    <t>0xA0BE4CA4866FEA2441BC97A9ED6CEEE5</t>
  </si>
  <si>
    <t>0x843A00505683949511EBAC3E6FF04983</t>
  </si>
  <si>
    <t>0x8582EEF9F917C4174D617AF9ED2C3D2B</t>
  </si>
  <si>
    <t>0xAD1CDAC7310F322F4DDC5058D8018435</t>
  </si>
  <si>
    <t>0x824F45139B27F20F4A814DF34F7518B8</t>
  </si>
  <si>
    <t>0x89C2ED60EE06FD8B4C0381D314E97B88</t>
  </si>
  <si>
    <t>0x82923C1F1AD1DE994AF87D0B9D61F374</t>
  </si>
  <si>
    <t>0xB71EA8A78BC23B7B48B029F97ACF889D</t>
  </si>
  <si>
    <t>0x8CC83C9B262CA61042B2A65450F9D98F</t>
  </si>
  <si>
    <t>0x8153F98FC3FAB15D4D830367BE4105E5</t>
  </si>
  <si>
    <t>0x81DE4A696DAFDE414C4E0E3B492A058C</t>
  </si>
  <si>
    <t>0xAD84975FAC9ABC2C4F2486B02304C84E</t>
  </si>
  <si>
    <t>0xA24F49D987635A3A4EFAE300FD0DB4B1</t>
  </si>
  <si>
    <t>0xAA14C204179027E14F8D4E0D9D81C7C5</t>
  </si>
  <si>
    <t>0xAB0500ACAD79C625404FCBB78BE98967</t>
  </si>
  <si>
    <t>0x9061A4F11F0A08FD43C909E364619AB0</t>
  </si>
  <si>
    <t>0xBE32D5CA7984665F458BC84D9710D647</t>
  </si>
  <si>
    <t>0xA7782CAE41C81B7F49E774D8E1DB7207</t>
  </si>
  <si>
    <t>0xA84645B746E3E54348CA0AF42A1CA9FC</t>
  </si>
  <si>
    <t>0xB25CAAEB01A6F5604C93429445005E86</t>
  </si>
  <si>
    <t>0x9E0AA86AFC6491524814C97CDD1D9686</t>
  </si>
  <si>
    <t>0xBE2E8FB4BDDE22714E3872F0C816FBCB</t>
  </si>
  <si>
    <t>0xA143005FFD9765E34EAEF6CE6EEE5738</t>
  </si>
  <si>
    <t>0x847100505683949511F05CB1118D084A</t>
  </si>
  <si>
    <t>0xB9BC367CDFB31B7B43DBB1B95F527F94</t>
  </si>
  <si>
    <t>0xB32FCC5B19140F4244B957C004621A72</t>
  </si>
  <si>
    <t>0xBBDC9DED61BAAA854FA46D80D74D5CFD</t>
  </si>
  <si>
    <t>0xB1A9703C40110AB04BD69B94EB6DA4F2</t>
  </si>
  <si>
    <t>0x9C1F79E39F59B11E46B0FBAC3190BFD6</t>
  </si>
  <si>
    <t>0xB2B75D702788EDC3492B224D1CEA23B1</t>
  </si>
  <si>
    <t>0xB1D371072DC87D7A44F6E8338D569BAE</t>
  </si>
  <si>
    <t>0x846A00505683949511EF2E2A1EDF5BC4</t>
  </si>
  <si>
    <t>0xB891D1243559569347C98B7DD3CD7278</t>
  </si>
  <si>
    <t>0xBD4E029122FCE922401FF5CB27068F55</t>
  </si>
  <si>
    <t>0x803C4C31D4999B3B4CD5566935CD0EAE</t>
  </si>
  <si>
    <t>0x99A255DA662E6BB6463CB248C59C54C0</t>
  </si>
  <si>
    <t>0xB07DBCCF9E456D464A2A23EB5C3C21CB</t>
  </si>
  <si>
    <t>0xB07D9530DC62F4DF4FF4FC09A9B657E1</t>
  </si>
  <si>
    <t>0x83ABE5B31EF817DE4AE767BF48BE1242</t>
  </si>
  <si>
    <t>0x8E79A4E5EA4584124DFEE18C9ECE2664</t>
  </si>
  <si>
    <t>0x845382C681E4BACA48053DB21927F1B8</t>
  </si>
  <si>
    <t>0xA3C7F3C2A4D2FC2E42EA9B046C6B717E</t>
  </si>
  <si>
    <t>0xAA4A071A2EC7F7AB47570B468FBA840B</t>
  </si>
  <si>
    <t>0x8F62AD919A7699C04D146BB85F217614</t>
  </si>
  <si>
    <t>0x82B8540FACB831E74B0FDA1B6D9637D8</t>
  </si>
  <si>
    <t>0x8B89151676F5EDA14D1B0EEF82B896FD</t>
  </si>
  <si>
    <t>0xBFE2F6CAE319E4354248DB8359EFE3E6</t>
  </si>
  <si>
    <t>0x966DCC3BE37E69BA4E43F0291AABDC86</t>
  </si>
  <si>
    <t>0x9A739C32C6BCEF8F4EE57592AF591002</t>
  </si>
  <si>
    <t>0x8243BAF6E2D39DFE4AE77ACEF1C46C74</t>
  </si>
  <si>
    <t>0x891F3EE63658090640B98B322D9276C8</t>
  </si>
  <si>
    <t>0xB3A7CACF3C2471304E9FA18CB4CCB350</t>
  </si>
  <si>
    <t>0xBC07C15FA483132C45CD9FACB54AC933</t>
  </si>
  <si>
    <t>0xADF4596A8F5AA6D24E4928E6AB57074E</t>
  </si>
  <si>
    <t>0xBC45D72BEEC289E44BC9BAB3EAB728F0</t>
  </si>
  <si>
    <t>0x86BDCFF4417C2FC841B5F276A7093350</t>
  </si>
  <si>
    <t>0x895378E7C9780B084C9D0A784203AE16</t>
  </si>
  <si>
    <t>0xBDB7694B78343F7B4D17A86879F5FD83</t>
  </si>
  <si>
    <t>0x9AB63D85482E284C429AC15FFD104409</t>
  </si>
  <si>
    <t>0xBDDF9313866A8C924A4B2FB5DFAA70CF</t>
  </si>
  <si>
    <t>0x895EEDDE3716A010403342629EE64A4D</t>
  </si>
  <si>
    <t>0x98107EAE287012504C4F7F76F91DB386</t>
  </si>
  <si>
    <t>0x9AA3BF60D0B12658494F45310ED8535E</t>
  </si>
  <si>
    <t>0x856A4D99BE59E08D4556058FA2BECFCC</t>
  </si>
  <si>
    <t>0xA357EE12BB2FC2ED4E9E9A0B0479B964</t>
  </si>
  <si>
    <t>0x8D714F06BF4E2E20407BCD78D68FD2EF</t>
  </si>
  <si>
    <t>0xB2DEB7A9517317EC4E6A4EC17A049809</t>
  </si>
  <si>
    <t>0xB3790AC695797C394129699499A7E7D5</t>
  </si>
  <si>
    <t>0xBB910E8575E6820D4661707EE13F60B5</t>
  </si>
  <si>
    <t>0xAE9B7507E812D89B408B8DC026406714</t>
  </si>
  <si>
    <t>0xA6181F67E268C7DF48F97922626E33D6</t>
  </si>
  <si>
    <t>0x9B1F6FD8811A8CC54412C4C52FEB8ADE</t>
  </si>
  <si>
    <t>0x83A057718041B9604BF80EF54C04CD80</t>
  </si>
  <si>
    <t>0xAF9964D2902E2C2E438F076CF5737B06</t>
  </si>
  <si>
    <t>0xA4F1EDC5229D79044B199DD5756A56C3</t>
  </si>
  <si>
    <t>0xA6B31599155DE7294FA3F0518A73F011</t>
  </si>
  <si>
    <t>0xAE584142D00E40DD4D128ECDAD3EFE30</t>
  </si>
  <si>
    <t>0xAB001B62A89E94764E9D0163B9173BCE</t>
  </si>
  <si>
    <t>0xAA33F40DDFFE4CFE4BCC0292FA054958</t>
  </si>
  <si>
    <t>0xA2EDF97D9D957FDD47A89CE209617BC0</t>
  </si>
  <si>
    <t>0xBE7FF70D119BCAE244D348D2D4D74751</t>
  </si>
  <si>
    <t>0x8908935DE68A494E4218544B37B712DD</t>
  </si>
  <si>
    <t>0xBF7CF9615F0757FE4DF9EC8D0D94F349</t>
  </si>
  <si>
    <t>0x94B8794289082FAF43BC319562447008</t>
  </si>
  <si>
    <t>0x8BFC8467A9C20377461B05DAFD324C6E</t>
  </si>
  <si>
    <t>0xBB5BA548E8A6C7AD48787C6496F7775A</t>
  </si>
  <si>
    <t>0xADE5869A0832F5884BBA4D036D52BC57</t>
  </si>
  <si>
    <t>0xA33480DD61ABD6724D69124864F1C89A</t>
  </si>
  <si>
    <t>0x846100505683949511EE4C7AE475C752</t>
  </si>
  <si>
    <t>0x846100505683949511EE4C7AE475C754</t>
  </si>
  <si>
    <t>0xAD4DB35273C06F9349DDF1C467E57718</t>
  </si>
  <si>
    <t>0x8D754BE2BCDE734A4DA39DB3D5B63D4D</t>
  </si>
  <si>
    <t>0x81F66FE070B932484DF50A185584C343</t>
  </si>
  <si>
    <t>0x80BE000C297C790011EA48CF20C39CFF</t>
  </si>
  <si>
    <t>0x80BE000C297C790011EA48CF20C39D01</t>
  </si>
  <si>
    <t>0xAAC07ABAC2EF9B1E48DF350C72725008</t>
  </si>
  <si>
    <t>0xB8EC61F6F80D62BB42B22BBB8817546F</t>
  </si>
  <si>
    <t>0x844D00505683949511ED64AB220F2B19</t>
  </si>
  <si>
    <t>0xBCA160A9616C0BD242033648F59E2715</t>
  </si>
  <si>
    <t>0x80BE000C297C790011EA48CF20C39D03</t>
  </si>
  <si>
    <t>0x80BE000C297C790011EA48CF20C39D05</t>
  </si>
  <si>
    <t>0x80BF000C297C790011EA6DAA79EF33FD</t>
  </si>
  <si>
    <t>0xAC49BE6369A9875D4D1B3788DA067D4C</t>
  </si>
  <si>
    <t>0x80BE000C297C790011EA48CF20C39D0D</t>
  </si>
  <si>
    <t>0x80BE000C297C790011EA48CF20C39D06</t>
  </si>
  <si>
    <t>0x80BE000C297C790011EA4E708E3E134B</t>
  </si>
  <si>
    <t>0x80BE000C297C790011EA48CF20C39D09</t>
  </si>
  <si>
    <t>0x80BE000C297C790011EA48CF20C39D0B</t>
  </si>
  <si>
    <t>0x96C9E6CD7022FDE44AC84E91C7101C78</t>
  </si>
  <si>
    <t>0x9496DF65169B4357461B0E0D29C1B180</t>
  </si>
  <si>
    <t>0xA1D5484A405689014DD9F58C69E56A69</t>
  </si>
  <si>
    <t>0x8AAB6DAD24FF62744800E3DA8E1EEAE3</t>
  </si>
  <si>
    <t>0xBE96274A6F5CB5A24034D7D5E5593478</t>
  </si>
  <si>
    <t>0xBDCC9763C934BF584EAA0BF9A08B443B</t>
  </si>
  <si>
    <t>0xBA5B0405085B2AF649953C33ACBDD9C8</t>
  </si>
  <si>
    <t>0x9225517EDFA371E6411582D39E6950A3</t>
  </si>
  <si>
    <t>0x80BE000C297C790011EA48CF20C39D0F</t>
  </si>
  <si>
    <t>0x80BE000C297C790011EA48CF20C39D11</t>
  </si>
  <si>
    <t>0x80BE000C297C790011EA48D60FFB5908</t>
  </si>
  <si>
    <t>0x90FB3749101E679143426C046A9B9C33</t>
  </si>
  <si>
    <t>0xBEA43C5AD15BC49447EAC28841B00F81</t>
  </si>
  <si>
    <t>0x91E18377161785394DA027B2864156B1</t>
  </si>
  <si>
    <t>0x94FCB3CB917559AE45153EBA05546B03</t>
  </si>
  <si>
    <t>0xA0EBD55D4283287D4ECB65A9790D8E9B</t>
  </si>
  <si>
    <t>0x9D82E92B91CB0E55443999A39B0BB12B</t>
  </si>
  <si>
    <t>0xBC4E603A541108E44EC122B9F099072F</t>
  </si>
  <si>
    <t>0xBA9D46ED2047BA1842A2FB5A3F9B0D2A</t>
  </si>
  <si>
    <t>0x9B255F2C2B4731E945F8923A7045915E</t>
  </si>
  <si>
    <t>0x9F402526FED1778C4CB83CF3EBF861BF</t>
  </si>
  <si>
    <t>0xADDCA8BC10CCF35D4832B0DDC7E5B25F</t>
  </si>
  <si>
    <t>0x8DDDE995A3E3CB9842D5B80B699E9118</t>
  </si>
  <si>
    <t>0xB4725647B5B58536454410DFFE6119DD</t>
  </si>
  <si>
    <t>0x98566B733893AA4B450C2B3FABCE0DE0</t>
  </si>
  <si>
    <t>0xAF183FE657471837478961DC8EE30E16</t>
  </si>
  <si>
    <t>0xA094C7BD353900A44A6284AC30DFF55E</t>
  </si>
  <si>
    <t>0xB3D4E2481B639DAE442521A77D0E5652</t>
  </si>
  <si>
    <t>0xB245839E91380FC64E94EBA8063958C5</t>
  </si>
  <si>
    <t>0x8A9C47E841FA45954A6A3C2AF174B05E</t>
  </si>
  <si>
    <t>0x9DE01C814934EFB84A37B41EC38B9B76</t>
  </si>
  <si>
    <t>0x9DAB6C2C822CDAA045855B7454E38417</t>
  </si>
  <si>
    <t>0x844500505683949511ED03F76684CD89</t>
  </si>
  <si>
    <t>0xAF13A7CDE16955A94E63308FDDCA95E2</t>
  </si>
  <si>
    <t>0xBEF1ABE149ED9C71444168E771B26623</t>
  </si>
  <si>
    <t>0xAE74D57B059405384C9D804DE640D9CA</t>
  </si>
  <si>
    <t>0x9A5ED2995A4EF12849FC3519CD42354D</t>
  </si>
  <si>
    <t>0xAA5456B087936E7E49612CC0F3772D8A</t>
  </si>
  <si>
    <t>0x8F4CD80A4101AD5148F9EC7CA9413499</t>
  </si>
  <si>
    <t>0xB9BA2272CB18557449AA95BFC0B34A08</t>
  </si>
  <si>
    <t>0x8A265E7A01A074754BF612EE8D3D3E78</t>
  </si>
  <si>
    <t>0xBD10E98B2639DC05495199B0ED8A4C2D</t>
  </si>
  <si>
    <t>0x89999C719D5718E9497E6730AB298543</t>
  </si>
  <si>
    <t>0xB6B387811A3D05044C1B9218AD01B0D5</t>
  </si>
  <si>
    <t>0x8854B9E09341E3A4464E3C106CA7BC2E</t>
  </si>
  <si>
    <t>0xBB1021343148B298411E7F378DDE9204</t>
  </si>
  <si>
    <t>0x844300505683949511ECC783E90AD77D</t>
  </si>
  <si>
    <t>0x8545A5025A29D7714374564EAC41FE0D</t>
  </si>
  <si>
    <t>0xB00812C30DA2986744F630A3E0558087</t>
  </si>
  <si>
    <t>0x8809E4B8B6391BC349BB216C0A0D55E0</t>
  </si>
  <si>
    <t>0xB876E0156C6CA302402D4914146AC815</t>
  </si>
  <si>
    <t>0x8D555FF654A2E14446A687687914C03A</t>
  </si>
  <si>
    <t>0x9F35425EBBAECB514519D00229C6DBE3</t>
  </si>
  <si>
    <t>0x93A8431C05FCB8C34D7445667F78B6A4</t>
  </si>
  <si>
    <t>0xB40587B22493F4F14E1AFA1339638EBD</t>
  </si>
  <si>
    <t>0xA3D930B624FCAA484F8BD10F445AF4A6</t>
  </si>
  <si>
    <t>0x843F00505683949511EC596F12E69EC1</t>
  </si>
  <si>
    <t>0x843A00505683949511EBDAFBFEFA4A22</t>
  </si>
  <si>
    <t>0x8398F2F510FF1EB249C91C8A3D012B89</t>
  </si>
  <si>
    <t>0x9EC7B47E02816B354EB96FC33B6194B6</t>
  </si>
  <si>
    <t>0xBBB11C3B08F6248843A88CBB292BEC9A</t>
  </si>
  <si>
    <t>0x9467CFF6BB4E08D646AD01CE72EBBDB0</t>
  </si>
  <si>
    <t>0xAF4E443117B417FD4B23C4C95E55660A</t>
  </si>
  <si>
    <t>0xAF80C2D4108CFDFB4A7D203A69C66150</t>
  </si>
  <si>
    <t>0x9DA6E0BAFFE816034F87BA1840FBF319</t>
  </si>
  <si>
    <t>0x87E603164AFEB4C34F4E0F6B556721D6</t>
  </si>
  <si>
    <t>0xA24E74B5F766101C4B0DEED64FDCFF6D</t>
  </si>
  <si>
    <t>0xA348C0F2F33A59814F24C13D1BCDBE8B</t>
  </si>
  <si>
    <t>0x80BF000C297C790011EA7A731BE23E44</t>
  </si>
  <si>
    <t>0xB49F79013E40A0ED4343303327A99DEA</t>
  </si>
  <si>
    <t>0x80C0000C297C790011EA99CA1A4C24DE</t>
  </si>
  <si>
    <t>0x97E0BD8CAA46261A4039376FAB4DD23D</t>
  </si>
  <si>
    <t>0xB7C138083D24369E4AE4D939F126D3D7</t>
  </si>
  <si>
    <t>0x80C0000C297C790011EA99CA1A4C24E1</t>
  </si>
  <si>
    <t>0x93FBFE17851D18824ED15DC260818FFD</t>
  </si>
  <si>
    <t>0x80BE000C297C790011EA48D60FFB590B</t>
  </si>
  <si>
    <t>0xAAFAAB41469D61524134B8F8385BEB81</t>
  </si>
  <si>
    <t>0xA8BB407CB3397D5949D14DF28816E4DB</t>
  </si>
  <si>
    <t>0xBBB89BA585BAD691428B18EEF841609F</t>
  </si>
  <si>
    <t>0xAA813CABCC8522754ABE724CCF11DB7A</t>
  </si>
  <si>
    <t>0x84B8B10D7D3CC40F45FE7248F43F5FE4</t>
  </si>
  <si>
    <t>0x9B632485729AD46D42774AE05558AAC8</t>
  </si>
  <si>
    <t>0xB02C2FB1EAA2F831494215C338120B5F</t>
  </si>
  <si>
    <t>0xAAB55D782DC6ACBE4D801144396DC247</t>
  </si>
  <si>
    <t>0xBEC0C8E3D558325F45A69C359055031F</t>
  </si>
  <si>
    <t>0x846A00505683949511EF64FF1C7CA1ED</t>
  </si>
  <si>
    <t>0xA5C90AF0F3D43ADE45B0B4406D3C9A8C</t>
  </si>
  <si>
    <t>0x8A378ED171D880954DCD319613E4DF2A</t>
  </si>
  <si>
    <t>0x8C694D6640694352402B5F0826C12A1C</t>
  </si>
  <si>
    <t>0x86876638223426E84116F9E4D344A470</t>
  </si>
  <si>
    <t>0x882140C7F7B7C14643243F9C2DFBA1BA</t>
  </si>
  <si>
    <t>0x8C952E4F41CA1D9D477A86D0FF1F7811</t>
  </si>
  <si>
    <t>0x9F11E196997544F8425D6A82FFC1B7E5</t>
  </si>
  <si>
    <t>0xBAD88B181C31136D4032C20796D7D53B</t>
  </si>
  <si>
    <t>0xA076B68BB451164441BBCBFEE2F7C2D8</t>
  </si>
  <si>
    <t>0xA0DEC8230742FD7341E01F701B9622D5</t>
  </si>
  <si>
    <t>0xBE9FB55A816506474CE341657227C6DD</t>
  </si>
  <si>
    <t>0xBE45AA4245C5E16C40BE46627CE0F766</t>
  </si>
  <si>
    <t>0x911F93CB42C4F4B748B2EA13F622020E</t>
  </si>
  <si>
    <t>0xB77B884F1A2104F8480FBB96F1DA3994</t>
  </si>
  <si>
    <t>0x9D496395CB9C37F4446C92A6DBA0939E</t>
  </si>
  <si>
    <t>0x94AC80746843D99E4406DC19404F91EC</t>
  </si>
  <si>
    <t>0xA399804DBC53841B4FA1BD147EADB13E</t>
  </si>
  <si>
    <t>0xB6E4C24506EAAC144BA16D546BAAFACB</t>
  </si>
  <si>
    <t>0x993A34CB5DCA42C74186F72F0D3B4881</t>
  </si>
  <si>
    <t>0xAC31EC5A093FBBD948F889768804E927</t>
  </si>
  <si>
    <t>0xB3E0AA25741A7201424AF7C0DA76DDD4</t>
  </si>
  <si>
    <t>0x8259B3FE165FDDF34D105AEE0DF843F8</t>
  </si>
  <si>
    <t>0xAF8D49D54537967742A8BF0CC52DC645</t>
  </si>
  <si>
    <t>0xB8DCDD049578A67C407A24ACA3F11285</t>
  </si>
  <si>
    <t>0x84EF03A3AA516B2A4E16DA653B7B8385</t>
  </si>
  <si>
    <t>0x8C975D8CD7088405430C278BD0627FA6</t>
  </si>
  <si>
    <t>0x90406F1CF30A1E984D51D1EDED050725</t>
  </si>
  <si>
    <t>0x9414459EB8613D534B2244B3613F96E7</t>
  </si>
  <si>
    <t>0xB179652FCF7D14034A8287842A500FE6</t>
  </si>
  <si>
    <t>0xA5110D93D99A92354EDBE7F2FBD3E6ED</t>
  </si>
  <si>
    <t>0xAAD2D8BAA528F77B4B661F7EBB025A15</t>
  </si>
  <si>
    <t>0xB12B7DA5F10A57FA4314AD263C24FA71</t>
  </si>
  <si>
    <t>0x8372AEE2AF96125B4E2EFE7948660BA7</t>
  </si>
  <si>
    <t>0x8FB18494313FD3884BF44918359095BF</t>
  </si>
  <si>
    <t>0xAD19FE2D778DD48349B2815B56DC2FD4</t>
  </si>
  <si>
    <t>0x9C72F1684DB14A7F4AC8FA90EEFAE45D</t>
  </si>
  <si>
    <t>0xBF960C2A61895A724979D268AAE16FFE</t>
  </si>
  <si>
    <t>0x924A693294BDF4684FEE4673BC722EED</t>
  </si>
  <si>
    <t>0x86CCB93F1D6702E24101359D663779E5</t>
  </si>
  <si>
    <t>0xBAC64B1A7A9143CD42095CCEE0A12C4E</t>
  </si>
  <si>
    <t>0x843A00505683949511EBD908F48F3004</t>
  </si>
  <si>
    <t>0x9846816993BAED6147C8116A6CD57DFA</t>
  </si>
  <si>
    <t>0xA4DB937394A93C7045580EB106CA012F</t>
  </si>
  <si>
    <t>0xA68992DDD0116DC9448F78BFC4223869</t>
  </si>
  <si>
    <t>0xA9A77AA558C3598D4C1A1494CDBEC179</t>
  </si>
  <si>
    <t>0x8715836EB4614C634F00B6AD3256C200</t>
  </si>
  <si>
    <t>0x843A00505683949511EBD908F48F3007</t>
  </si>
  <si>
    <t>0x967ACE9BD669AA394583144F383FBC33</t>
  </si>
  <si>
    <t>0x80302C4BC031F60345447928592FF697</t>
  </si>
  <si>
    <t>0x88D08B92155ED7AA4765F4F663B9F2B2</t>
  </si>
  <si>
    <t>0x9422850C6E2C51EE48DF8E69CB67A861</t>
  </si>
  <si>
    <t>0x8D2DBD0DEB0B172F4EED288F7FF5E2AE</t>
  </si>
  <si>
    <t>0xB781E7914B3A73594BB44CF88E8417FA</t>
  </si>
  <si>
    <t>0x94D721ADE694CF3D447F58AD08C3B412</t>
  </si>
  <si>
    <t>0xAA5A17000F2732DF465DC8362EF152FF</t>
  </si>
  <si>
    <t>0xAC7433E280A5A1DD482A02454D4651DC</t>
  </si>
  <si>
    <t>0x9C7C2EFD5051CE1A411A12AA5507D702</t>
  </si>
  <si>
    <t>0x96FBF799FF0B1D6A4448B32932D84224</t>
  </si>
  <si>
    <t>0xA5FD9CC9D0F9D40B418051051288D8AF</t>
  </si>
  <si>
    <t>0xB682964B8137803A42A0C3221AADE6B8</t>
  </si>
  <si>
    <t>0x84611C1B9E82FB964689A6158B48F3B7</t>
  </si>
  <si>
    <t>0xBA8B12EB496DCFC24A95A56686C095F0</t>
  </si>
  <si>
    <t>0xBA43C9B2307286004FB81921992C5E77</t>
  </si>
  <si>
    <t>0x83CC1DB630C84CAF48AD86A39FBECE10</t>
  </si>
  <si>
    <t>0xBF2D00965E84A09849ED5766C3E5DC08</t>
  </si>
  <si>
    <t>0x844D00505683949511ED779F30B179DA</t>
  </si>
  <si>
    <t>0xBBA74F241E9A2EFE4072FDF8E46B931D</t>
  </si>
  <si>
    <t>0x93694C39EDBBC86A4952864E145548CB</t>
  </si>
  <si>
    <t>0xBD60B36B2BA91E0E484F5CC7B006B3B4</t>
  </si>
  <si>
    <t>0xBB81D101AE879D5A4A6AD7CC5915121C</t>
  </si>
  <si>
    <t>0x8FFF2B52697B9F444EC44CF263F7F274</t>
  </si>
  <si>
    <t>0x942AE9B865078221432EE0B47034499F</t>
  </si>
  <si>
    <t>0x93A01AF27D4BB51747EB855ED5701F3A</t>
  </si>
  <si>
    <t>0xB968CAFC32A28A104FF28498FF791B7A</t>
  </si>
  <si>
    <t>0xB96F3F3F234555B348251EEAC0013F5F</t>
  </si>
  <si>
    <t>0x82D349069AB0023D48713311322E011B</t>
  </si>
  <si>
    <t>0x9A06013C677F636E4E32227849E9A4AE</t>
  </si>
  <si>
    <t>0x86B291C7398190604C82444D4050EEDE</t>
  </si>
  <si>
    <t>0x8064BB47F7D1B6944F1125EE3C2633D6</t>
  </si>
  <si>
    <t>0x8C88ED7BF130A8DD40793609FE6EAE82</t>
  </si>
  <si>
    <t>0xB74F17E18C8E200C48390103A05C7E8E</t>
  </si>
  <si>
    <t>0xB73A22E87640276149241F64CE6803D1</t>
  </si>
  <si>
    <t>0x926292FBD5084D6841959A5C9BFEED24</t>
  </si>
  <si>
    <t>0xA4F100155D48140D11E8FC7FBD35E71E</t>
  </si>
  <si>
    <t>0x80C4000C297C790011EAAE770BFDF744</t>
  </si>
  <si>
    <t>0x893100155D48140D11E9A25E4654B4F7</t>
  </si>
  <si>
    <t>0x9321521E7D972B7C40360808F359DBDF</t>
  </si>
  <si>
    <t>0xAC36ECCA53288908411A5A023DE648A2</t>
  </si>
  <si>
    <t>0x88B3808B370D27A14C101F151001F998</t>
  </si>
  <si>
    <t>0x80C4000C297C790011EAE6393C66AD43</t>
  </si>
  <si>
    <t>0xA32100155D48140D11E95A8FD70AD956</t>
  </si>
  <si>
    <t>0xA32100155D48140D11E95A8FD70AD958</t>
  </si>
  <si>
    <t>0xA32100155D48140D11E95A8FD70AD95A</t>
  </si>
  <si>
    <t>0x8D7B7BC3191EC9EA471EDF47D2F27648</t>
  </si>
  <si>
    <t>0x8F934EC387AA4EE34420512BF1C1C2DB</t>
  </si>
  <si>
    <t>0x894F98D9E35E502244ADCD80CC8EFF46</t>
  </si>
  <si>
    <t>0x9E2C2BC1D8F86862431784F1620B537D</t>
  </si>
  <si>
    <t>0x80C4000C297C790011EAE6393C66AD42</t>
  </si>
  <si>
    <t>0x878200155D48140D11E93E7BD28C7B0B</t>
  </si>
  <si>
    <t>0xAC9871601583306A43D66450006B8F4B</t>
  </si>
  <si>
    <t>0x8808C0F94BA43417449C531FEBE139BA</t>
  </si>
  <si>
    <t>0x80C4000C297C790011EAAE770BFDF743</t>
  </si>
  <si>
    <t>0x8329B40EED3A332C46A86260BC1A4A23</t>
  </si>
  <si>
    <t>0xB87E4C466FE039B8436A517FF0AA0914</t>
  </si>
  <si>
    <t>0x89CBCF4D4CFC47A8495BCA3E8399BEC5</t>
  </si>
  <si>
    <t>0xB52BD10B3CA076144EAAF2BF62BC474F</t>
  </si>
  <si>
    <t>0x80BDDEA30886827049EFEF9DB0AAA18A</t>
  </si>
  <si>
    <t>0x8184AFEB98935EF24D4991C2F632E4AD</t>
  </si>
  <si>
    <t>ТЗ.Р</t>
  </si>
  <si>
    <t>00_x000D_
0xAA31397C1DFBA1AB4ABC51ACD264008D	001</t>
  </si>
  <si>
    <t>001.1_x000D_
0xBE0A52A736BEAA5547600B6DC732243C	001.1.1</t>
  </si>
  <si>
    <t>001.1.2_x000D_
0xA48ED1CF08F728C24F332A01C0F36082	001.1.3</t>
  </si>
  <si>
    <t>001.1.4_x000D_
0x9FFC194B89B0100E455331500F18899A	001.2</t>
  </si>
  <si>
    <t>001.2.1_x000D_
0x8F1D5132AB29525F4F3B2F38ECD527E0	001.2.2</t>
  </si>
  <si>
    <t>001.2.3_x000D_
0x893C7C76FF98E8434AFFD1255D4E033E	001.2.4</t>
  </si>
  <si>
    <t>002_x000D_
0xADB27AA3944B2F6E497B8CFF94A8A325	002.1</t>
  </si>
  <si>
    <t>002.1.1_x000D_
0xB85B2F025C1CD1704214E6D6BCF21E44	002.1.2</t>
  </si>
  <si>
    <t>002.1.3_x000D_
0x8810E0A16367DAF24911C7073D2F1004	002.1.4</t>
  </si>
  <si>
    <t>002.2_x000D_
0x971F409308454CBB487A608A55994031	002.2.1</t>
  </si>
  <si>
    <t>002.2.2_x000D_
0xA359FD5B9731957944DF40B24EE3900F	002.2.3</t>
  </si>
  <si>
    <t>002.2.4_x000D_
0x9D1A7CD125928CC14B314A23A0A53939	003</t>
  </si>
  <si>
    <t>003.1_x000D_
0xB837BB1D89F766704F13611458BD6BEC	003.1.1</t>
  </si>
  <si>
    <t>003.1.2_x000D_
0x995D064853A1BAFE41113069ADC99CF6	003.1.3</t>
  </si>
  <si>
    <t>003.1.4_x000D_
0xAD2F921CC67ACE2B4B4F39EF2278A8E6	003.2</t>
  </si>
  <si>
    <t>003.2.1_x000D_
0xBEFBA7369152E9E14FBB67154764FEE5	003.2.2</t>
  </si>
  <si>
    <t>003.2.3_x000D_
0x95B4811D7CABA6524F7009E6478277A9	003.2.4</t>
  </si>
  <si>
    <t>004_x000D_
0xBF24D3D11E8C68FE498FAB89C47E02A3	004.1</t>
  </si>
  <si>
    <t>004.1.1_x000D_
0xB01ECC76B4E098D041B126942A330ECB	004.1.2</t>
  </si>
  <si>
    <t>004.1.3_x000D_
0xAF010882A4F1CED04750875F89C68A51	004.1.4</t>
  </si>
  <si>
    <t>004.2_x000D_
0xA4E53E2A8746E8BF4EEC89BA5057E4C8	004.2.1</t>
  </si>
  <si>
    <t>004.2.2_x000D_
0xB2F6CDC2050DB76644C7D229D39EFB23	004.2.3</t>
  </si>
  <si>
    <t>004.2.4_x000D_
0x8AB375CD9F6658BE4B874DF932BFA963	004.3</t>
  </si>
  <si>
    <t>004.3.1_x000D_
0x90360F85ED1BCCB54CBD6696407DC7E8	004.3.2</t>
  </si>
  <si>
    <t>004.4_x000D_
0xAB7E41AEDC8176D24172366B1F0C57E9	004.4.1</t>
  </si>
  <si>
    <t>004.4.2_x000D_
0xA4F100155D48140D11E8FC7FBD35E71C	004.5</t>
  </si>
  <si>
    <t>004.5.1_x000D_
0xA4F100155D48140D11E8FC7FBD35E71D	004.5.2</t>
  </si>
  <si>
    <t>004.6_x000D_
0xA4F100155D48140D11E8FC7FBD35E720	004.6.1</t>
  </si>
  <si>
    <t>004.6.2_x000D_
0xA26FD8B670D340614594FDEFED1D4E86	005</t>
  </si>
  <si>
    <t>005.1_x000D_
0x814AB476BB57B90242CD1D09DB8365BA	005.1.1</t>
  </si>
  <si>
    <t>005.1.2_x000D_
0x9DF7F83816B3EC784C84DC7F675006C7	005.1.3</t>
  </si>
  <si>
    <t>005.1.4_x000D_
0x834DB1E21D2437F24107E2A31B94656B	005.2</t>
  </si>
  <si>
    <t>005.2.1_x000D_
0xB4D3FC8A8DD791934E4662560B0D5597	005.2.2</t>
  </si>
  <si>
    <t>005.2.3_x000D_
0x99F989F1C843069F4B0ABDDC49CE03EB	005.2.4</t>
  </si>
  <si>
    <t>006_x000D_
0xB5F52A2503CBD3744E0CE75909731201	007</t>
  </si>
  <si>
    <t>007.1_x000D_
0x802C4A95BECD874F436701145A525C57	007.2</t>
  </si>
  <si>
    <t>008_x000D_
0x99B71E645A29DE7147A074A2E0C2AB70	008.1</t>
  </si>
  <si>
    <t>008.2_x000D_
0x9B2F3B592B978899473E24AAA69A93E0	009</t>
  </si>
  <si>
    <t>009.1_x000D_
0x831D3AC9ED6E1F2742C055AC30504782	009.2</t>
  </si>
  <si>
    <t>01_x000D_
0x98D35DF29F80FC7843B4D77F02DD6D9A	01.1</t>
  </si>
  <si>
    <t>01.1.1_x000D_
0x94F4C609A85233EB4B4C45FD96FE2C4F	01.1.2</t>
  </si>
  <si>
    <t>01.1.3_x000D_
0xAC8AA075F808215340739A97063440B0	01.1.4</t>
  </si>
  <si>
    <t>01.2_x000D_
0xA02BE705995093DA41255CCE958A8778	01.3</t>
  </si>
  <si>
    <t>01.3.1_x000D_
0x86E5A7AFD1F9C63F402E31918C0E069B	01.3.2</t>
  </si>
  <si>
    <t>01.3.3_x000D_
0xB5244F5A3FE8FBA04AE77468AAF4B935	01.3.4</t>
  </si>
  <si>
    <t>01.4_x000D_
0x86436106596BFC7D4D4AEB1380EF720F	01.4.1</t>
  </si>
  <si>
    <t>01.4.2_x000D_
0x86430DDD5F09F2494015CD69052C30CF	01.4.3</t>
  </si>
  <si>
    <t>01.4.4_x000D_
0x849093187DE3305345A427F3AC4FEB11	01.5</t>
  </si>
  <si>
    <t>01.5.1_x000D_
0x8BEFF1E1311FFD89477BD0714366FD6B	01.5.2</t>
  </si>
  <si>
    <t>01.5.3_x000D_
0x9FD3FC20B68A6F8D48A773B8A4AB0913	01.5.4</t>
  </si>
  <si>
    <t>01.6_x000D_
0xA211FBF31814F90046056C28EB7C8893	01.6.1</t>
  </si>
  <si>
    <t>01.6.2_x000D_
0x971C2C72B7554C5E463DB7F87299BA75	01.6.3</t>
  </si>
  <si>
    <t>01.6.4_x000D_
0xBCE6D6E87046C4F54D13E8CE2293B4D3	01.7</t>
  </si>
  <si>
    <t>01.7.1_x000D_
0xA2DC28B9D55C2867470CCE2A47BA0F27	01.7.2</t>
  </si>
  <si>
    <t>01.7.3_x000D_
0xB92EF5A237A48B8C465B284480B8AFAD	01.7.4</t>
  </si>
  <si>
    <t>01.8_x000D_
0xAA53196C04D98A0444BCB5A35901D365	01.8.1</t>
  </si>
  <si>
    <t>01.8.2_x000D_
0x80CA4ECBAD319A4B45ED6E6042E0BCE6	01.8.3</t>
  </si>
  <si>
    <t>01.8.4_x000D_
0xBC8B816517F08C4849377E2950698092	010</t>
  </si>
  <si>
    <t>011_x000D_
0xA721F4B841FB03464CADECF410D18710	011.1</t>
  </si>
  <si>
    <t>011.2_x000D_
0x989D87CF866E4EEC473CF0165F680D29	012</t>
  </si>
  <si>
    <t>013_x000D_
0xA1F50B44E3FB12E745CC84623E28380F	014</t>
  </si>
  <si>
    <t>015_x000D_
0x8C3CE97401690C634C9F71CC1E1D36DE	015.1</t>
  </si>
  <si>
    <t>015.2_x000D_
0x80C4000C297C790011EAAE770BFDF741	016</t>
  </si>
  <si>
    <t>017_x000D_
0x845300505683949511EDAE7ECC1D6314	018</t>
  </si>
  <si>
    <t>02_x000D_
0xBF797137A6DBFF0B4B79C4D4F1F45836	02.1</t>
  </si>
  <si>
    <t>02.2_x000D_
0x91CE8996E1BB7595487510C9A865A885	02.3</t>
  </si>
  <si>
    <t>02.3.1_x000D_
0x839AB3E28FE7E062480D4EF91BCCA3E6	02.3.2</t>
  </si>
  <si>
    <t>02.4_x000D_
0xAE7706C104425E93494A5124DCB2B9B1	02.5</t>
  </si>
  <si>
    <t>02.6_x000D_
0xAF435C70FA14DE804CE171BFDB820B4E	02.7</t>
  </si>
  <si>
    <t>02.8_x000D_
0x960CB07091F3848943F77A657CA594EA	03</t>
  </si>
  <si>
    <t>03.01_x000D_
0xBB9288D6C05094D84132CA9295A23FC9	03.01.1</t>
  </si>
  <si>
    <t>03.01.2_x000D_
0xBF8C37E969D446F1431D2D048B73D159	03.01.3</t>
  </si>
  <si>
    <t>03.01.4_x000D_
0xA525C68C39ABBAD745BD28F1AA65E166	03.02</t>
  </si>
  <si>
    <t>03.02.1_x000D_
0x8DFC00CBF0A750914F4293E3BB9AF3CC	03.02.2</t>
  </si>
  <si>
    <t>03.02.3_x000D_
0x9430066DA5275805410F9CD97876C8B7	03.02.4</t>
  </si>
  <si>
    <t>03.03_x000D_
0x9C0DEE1CA5A663BE42BA325F25D3F393	03.03.1</t>
  </si>
  <si>
    <t>03.03.2_x000D_
0xA96A9374736E276F4C767793FB9B02CF	03.03.3</t>
  </si>
  <si>
    <t>03.03.4_x000D_
0x84467B01F29E4B6242A81E699E5A4AEB	03.1</t>
  </si>
  <si>
    <t>03.1.1_x000D_
0xBC50DB2C223EF9A245E09A55B6A70997	03.1.2</t>
  </si>
  <si>
    <t>03.1.3_x000D_
0x900E6B70D7C73E3848C9D161E5A15621	03.1.4</t>
  </si>
  <si>
    <t>03.2_x000D_
0x80B2182F56E20D9B41E66E39D9E67B27	03.2.1</t>
  </si>
  <si>
    <t>03.2.2_x000D_
0xA68B2F1E0E9F78424568B48FCD36C738	03.2.3</t>
  </si>
  <si>
    <t>03.2.4_x000D_
0xA0AA7F7664B24EB64CA8BCB817518394	03.3</t>
  </si>
  <si>
    <t>03.3.1_x000D_
0xAF6FE626442932C2408BE0B8EF390BC9	03.3.2</t>
  </si>
  <si>
    <t>03.3.3_x000D_
0x95F353E87A592EA14B053B9B75102C6A	03.3.4</t>
  </si>
  <si>
    <t>03.30_x000D_
0xBB7659068B8459374200D63161A8F1BC	03.30.1</t>
  </si>
  <si>
    <t>03.30.2_x000D_
0x968AC647E8CAC4714F27F2E63F295591	03.30.3</t>
  </si>
  <si>
    <t>03.30.4_x000D_
0x84B52D7F4799F3554B1FA8C434FB7A52	03.4</t>
  </si>
  <si>
    <t>04_x000D_
0xB6E4523CD81CF1E04A1269DBE4F168C0	04.1</t>
  </si>
  <si>
    <t>04.1.1_x000D_
0xBC7F4BA96A4AA05F41A70866E191BCD9	04.1.2</t>
  </si>
  <si>
    <t>04.1.3_x000D_
0x933C1A40C88D45EB4A8843012DCF5E23	04.1.4</t>
  </si>
  <si>
    <t>04.2_x000D_
0xAA19D30EFCE4C2DC4D5ADAD3461977EB	04.2.1</t>
  </si>
  <si>
    <t>04.2.2_x000D_
0x9570B628A504B6E84FC43A6E33731DC3	04.2.3</t>
  </si>
  <si>
    <t>04.2.4_x000D_
0x909EADDDECCE0BBC4F91E4B2DEA6E068	04.3</t>
  </si>
  <si>
    <t>05_x000D_
0xBCD760939D8B22E848C37A6BC37248A7	06</t>
  </si>
  <si>
    <t>06.1_x000D_
0xBA680E6BD75A02A944F168ADCA80C6B7	06.1.1</t>
  </si>
  <si>
    <t>06.1.2_x000D_
0x89CDB0016BAA6B3C429AD5A486B8EBAC	06.1.3</t>
  </si>
  <si>
    <t>06.1.4_x000D_
0x869297230039A82B432B9041DA253EB7	06.1.5</t>
  </si>
  <si>
    <t>06.1.6_x000D_
0x89A740629BD10E844F741CC021DD09F4	06.2</t>
  </si>
  <si>
    <t>06.2.1_x000D_
0x9772CE04B3FAB2BB469D3544B1A09B4C	06.2.2</t>
  </si>
  <si>
    <t>06.3_x000D_
0xB9AD63FE6C450C424CC3A4D3F219AB49	06.3.1</t>
  </si>
  <si>
    <t>06.3.2_x000D_
0x95E376261CC95DC34D7694E430D26E90	06.4</t>
  </si>
  <si>
    <t>06.4.1_x000D_
0x846100505683949511EE4C7AE475C74F	06.6</t>
  </si>
  <si>
    <t>06.6.1_x000D_
0x846100505683949511EE4C7AE475C751	06.6.2</t>
  </si>
  <si>
    <t>07_x000D_
0xB350F3CCF6562792496B14A919F1DA73	07.1</t>
  </si>
  <si>
    <t>07.1.1_x000D_
0x99F6C6B7209365D34BF2EF50C956D82B	07.1.2</t>
  </si>
  <si>
    <t>07.1.3_x000D_
0xBF87FBA40B07AF15401E7F421BF75E0E	07.1.4</t>
  </si>
  <si>
    <t>07.2_x000D_
0x8BA67583CF24344848483C845916CD0A	07.2.1</t>
  </si>
  <si>
    <t>07.2.2_x000D_
0xB3C531BAB8545AC34E844215AFBF4EC1	07.2.3</t>
  </si>
  <si>
    <t>07.2.4_x000D_
0x86F1483ED13DED47410797B48365637A	07.3</t>
  </si>
  <si>
    <t>07.3.1_x000D_
0x80BE000C297C790011EA5E2A58193F6E	07.3.10</t>
  </si>
  <si>
    <t>07.3.2_x000D_
0xA087CD82DD98044845B859F8CE9F0AA2	07.3.3</t>
  </si>
  <si>
    <t>07.3.4_x000D_
0xA4CFDDF38A14C668490A8C775E685900	07.4</t>
  </si>
  <si>
    <t>07.4.1_x000D_
0xA2DF044958B2880744ECEB3674A02837	07.4.2</t>
  </si>
  <si>
    <t>07.5_x000D_
0xB12B29CEF436151C4D6D8737C6DE9B37	07.5.1</t>
  </si>
  <si>
    <t>07.5.2_x000D_
0x8D12A88138DC8B5B42E8F45342C37BA8	08</t>
  </si>
  <si>
    <t>08.01_x000D_
0xB36019406DB2165F4845333778ED5EC8	08.02</t>
  </si>
  <si>
    <t>08.03_x000D_
0xAF4C4AB0CD5410204529FC3C8A7B597D	08.03.1</t>
  </si>
  <si>
    <t>08.03.2_x000D_
0x83B1182660AE7FE84AE3B599A0A1A80A	08.03.3</t>
  </si>
  <si>
    <t>08.03.4_x000D_
0xB1E8FEC34CA5B92042F2017E43D99CC0	08.04</t>
  </si>
  <si>
    <t>08.04.1_x000D_
0x9A9CB76F18FF0CD848AA1A5FAA0BF717	08.04.2</t>
  </si>
  <si>
    <t>08.05_x000D_
0xA93EF7AD1B2915F64A63AB9739ABA0C1	08.06</t>
  </si>
  <si>
    <t>08.06.1_x000D_
0x8562FA428811E40249CACFF2A967A0D6	08.06.2</t>
  </si>
  <si>
    <t>08.07_x000D_
0xA0E07D82044681B748105492837ECA22	08.08</t>
  </si>
  <si>
    <t>08.09_x000D_
0x8A24789FABE3FE304DDC1D51D91BD93D	08.1</t>
  </si>
  <si>
    <t>08.1.1_x000D_
0xBDADD98734459EB14A13FEF4DCB4780F	08.1.2</t>
  </si>
  <si>
    <t>08.10_x000D_
0x85949725096400814DEC8B286DE36D1C	08.10.1</t>
  </si>
  <si>
    <t>08.10.2_x000D_
0x8C3ACDE51AC94B924E928BC76AE87DE4	08.10.3</t>
  </si>
  <si>
    <t>08.10.4_x000D_
0xA8DA5B8D0A8E22EB459F8D32706E3A03	08.11</t>
  </si>
  <si>
    <t>08.11.1_x000D_
0xA223AA2BA9C6DD61416A4A1B0FD73402	08.11.2</t>
  </si>
  <si>
    <t>08.11.3_x000D_
0x8AF1652E8418B13846BC1267F3A1D314	08.11.4</t>
  </si>
  <si>
    <t>08.12_x000D_
0x846B00505683949511EF75AB026030A1	08.12.1</t>
  </si>
  <si>
    <t>08.12.3_x000D_
0xA35D4964CB8DF60141E1885365FA6F5C	08.15</t>
  </si>
  <si>
    <t>08.16_x000D_
0xB87D23037A17074E4669DA727E42A740	08.16.1</t>
  </si>
  <si>
    <t>08.16.2_x000D_
0x91C6B0441BF2B9E0440AF3E52E365A73	08.16.3</t>
  </si>
  <si>
    <t>08.16.4_x000D_
0xA6F8D92F96421C0042E88A3150834E49	08.2</t>
  </si>
  <si>
    <t>08.2.1_x000D_
0x8BEA00B5B084882C4BA3A37602C38768	08.2.2</t>
  </si>
  <si>
    <t>08.3_x000D_
0xBBD7199F3B0AD9E240508C2BB369D755	08.4</t>
  </si>
  <si>
    <t>08.4.1_x000D_
0x980D65166AC60B0B41EDB673DED195B0	08.4.2</t>
  </si>
  <si>
    <t>08.5_x000D_
0x9E7C5E8A673872874D67F4EE55F65C6F	08.5.1</t>
  </si>
  <si>
    <t>08.5.2_x000D_
0x894B76400A9EDED64F220CC8EB21036D	08.9</t>
  </si>
  <si>
    <t>08.9.1_x000D_
0xA5D15E0A1D97989D46BCCF12A0B2B6D3	08.9.2</t>
  </si>
  <si>
    <t>08.9.3_x000D_
0xA7E2A13CF2EDE73E4B15590B5D538907	08.9.4</t>
  </si>
  <si>
    <t>09_x000D_
0x87F3373CD3BD083F4FCEDF86A32377A5	10</t>
  </si>
  <si>
    <t>10.08_x000D_
0x8897ECC9824BC9F34AE08FC89B2EAAAB	10.08.1</t>
  </si>
  <si>
    <t>10.08.2_x000D_
0x8FBDFABD5AE56CB648B798C30996D318	10.08.3</t>
  </si>
  <si>
    <t>10.08.4_x000D_
0xAB9C5A0E6DC28AEB4E38CBEA10A3DF3D	10.1</t>
  </si>
  <si>
    <t>10.1.1_x000D_
0xAE2989411D3B2769463027535D5AE99F	10.1.2</t>
  </si>
  <si>
    <t>10.1.3_x000D_
0x9E9E794452A67D5A430B55C412E1E109	10.1.4</t>
  </si>
  <si>
    <t>10.10_x000D_
0xA4AF4CAD2F41FFF74F046BF8A54E9173	10.10.1</t>
  </si>
  <si>
    <t>10.10.2_x000D_
0x87BE0ED52B31A0134EC20473D58B1CD3	10.10.3</t>
  </si>
  <si>
    <t>10.10.4_x000D_
0xB0A98AE04419CC0B4B6225943B9E1D45	10.11</t>
  </si>
  <si>
    <t>10.11.1_x000D_
0xBC09917AB2B27F7C423A0EE302A88C35	10.11.2</t>
  </si>
  <si>
    <t>10.11.3_x000D_
0xA79D72F07DCD6896423FCFEC6F087286	10.11.4</t>
  </si>
  <si>
    <t>10.12_x000D_
0x8609014B2B1F93324CFE0646E4E94269	10.12.1</t>
  </si>
  <si>
    <t>10.12.2_x000D_
0x96BF59B35A22689A4B6C8F29D43C3C23	10.12.3</t>
  </si>
  <si>
    <t>10.12.4_x000D_
0x8AB1F3E7E8B20D4C49034FE982497107	10.19</t>
  </si>
  <si>
    <t>10.19.1_x000D_
0xA695DA6F5B5B354D40DEAED28FFAE359	10.19.2</t>
  </si>
  <si>
    <t>10.19.3_x000D_
0xA9ADF4BED6EC1098425D7B6249A2D62F	10.19.4</t>
  </si>
  <si>
    <t>10.2_x000D_
0x8974CC32D66D0A9B4A41D3DC61842409	10.2.1</t>
  </si>
  <si>
    <t>10.2.2_x000D_
0x8B1D38F8AD34C4FF4D41948A68FD5CE3	10.2.3</t>
  </si>
  <si>
    <t>10.2.4_x000D_
0xBA8C68BFB0E82768492AEF4F91C91068	10.20</t>
  </si>
  <si>
    <t>10.20.1_x000D_
0xA5A0DC47F4FF181E48FD2FCFFCD1358D	10.20.2</t>
  </si>
  <si>
    <t>10.20.3_x000D_
0xA118FFD8DBA37C0A459C755A51785451	10.20.4</t>
  </si>
  <si>
    <t>10.21_x000D_
0xBE9C536E3D946FDE4237C13974794229	10.21.1</t>
  </si>
  <si>
    <t>10.21.2_x000D_
0xBE882F50C83CF74E48C2ED4EAF22BFFB	10.21.3</t>
  </si>
  <si>
    <t>10.21.4_x000D_
0xBF428C20B9C95B1E4947926472D96529	10.22</t>
  </si>
  <si>
    <t>10.22.1_x000D_
0x81B440B4C19DCB6E4EE21D9C64E1092D	10.22.2</t>
  </si>
  <si>
    <t>10.22.3_x000D_
0xA99A47AAD9036A1749581EB8F4721D20	10.22.4</t>
  </si>
  <si>
    <t>10.3_x000D_
0x8DD4BC1698E657194406541CB15879C7	10.3.1</t>
  </si>
  <si>
    <t>10.3.2_x000D_
0xBD67B8BAF16EFF774A087E44FAB13DF0	10.3.3</t>
  </si>
  <si>
    <t>10.3.4_x000D_
0xA28ED757681099494953D1A4512C1593	10.4</t>
  </si>
  <si>
    <t>10.4.1_x000D_
0xA819921F5C9DEA684E3EF997D786F54C	10.4.2</t>
  </si>
  <si>
    <t>10.4.3_x000D_
0xA0C89B9548F2894D4A5C8A5BF16C8BD9	10.4.4</t>
  </si>
  <si>
    <t>10.5_x000D_
0xAAA338BA728705AE42ECC39FCD582CE1	10.5.1</t>
  </si>
  <si>
    <t>10.5.2_x000D_
0x94CF53DDE01828E34FCD47341889FFD7	10.5.3</t>
  </si>
  <si>
    <t>10.5.4_x000D_
0x8194FE442D3701984FA63B122FCA9933	10.6</t>
  </si>
  <si>
    <t>10.6.1_x000D_
0xB2E33413AF66C7714EBF36A776DCE039	10.6.2</t>
  </si>
  <si>
    <t>10.6.3_x000D_
0xAEFBDA35F1A7DB83495A82CC1196BC7E	10.6.4</t>
  </si>
  <si>
    <t>10.7_x000D_
0xBD9E06EDD5BA977944C1E34F3866E559	10.7.1</t>
  </si>
  <si>
    <t>10.7.2_x000D_
0xBEA541295912E2CE466CDD72B841E4C0	10.8</t>
  </si>
  <si>
    <t>10.8.1_x000D_
0x8DBC07E143DAA4B04D2F4E57693EAA96	10.8.2</t>
  </si>
  <si>
    <t>10.8.3_x000D_
0x9ADF5927967449414B06907F968DB555	10.8.4</t>
  </si>
  <si>
    <t>10.9_x000D_
0xA85951140DBC29E34872FE37903BD280	10.9.1</t>
  </si>
  <si>
    <t>10.9.2_x000D_
0x86731A18A90642854588161D738D87A7	10.9.3</t>
  </si>
  <si>
    <t>10.9.4_x000D_
0xA423C0EB869462574C858AAEBE33727B	11</t>
  </si>
  <si>
    <t>14_x000D_
0x838D9CDB38A71B234A9B3FD5680D2FEB	15</t>
  </si>
  <si>
    <t>15.1_x000D_
0xB517E48A3042DE8049965FDAF856601F	15.2</t>
  </si>
  <si>
    <t>16_x000D_
0xB4A3CE4EA2B0DA224FB267ED718CD843	16.1</t>
  </si>
  <si>
    <t>16.2_x000D_
0x8F47BF26A8CF4B5040C6CADBF392E637	16.3</t>
  </si>
  <si>
    <t>16.4_x000D_
0xB718400CCF450D7E4E5CDB4536CBB35E	18</t>
  </si>
  <si>
    <t>18.1_x000D_
0x9438FC25812BF7EF4582C7A9C2AF59A7	18.1.1</t>
  </si>
  <si>
    <t>18.1.10_x000D_
0x95C557D8BBD05D334C1A7B6ABE35376B	18.1.2</t>
  </si>
  <si>
    <t>18.1.3_x000D_
0xB15628A3492ADC534C1078CA1C48AD55	18.2</t>
  </si>
  <si>
    <t>18.2.1_x000D_
0xBF28B616A6810A1642C11376BDB1E556	18.2.10</t>
  </si>
  <si>
    <t>18.2.2_x000D_
0x8B2D1D365AB36109420C09491E5C68AC	18.3</t>
  </si>
  <si>
    <t>18.3.1_x000D_
0x9C7B84D036366E4D48099E417529D9A3	18.3.10</t>
  </si>
  <si>
    <t>18.3.2_x000D_
0x8573C2C9F768970347113D50717F9A3F	18.3.3</t>
  </si>
  <si>
    <t>18.3.30_x000D_
0x80C4000C297C790011EAB71958C9C38D	18.3.31</t>
  </si>
  <si>
    <t>18.3.4_x000D_
0x818601F10CC6B13E43A0F6702B0AF313	18.3.5</t>
  </si>
  <si>
    <t>18.3.6_x000D_
0x843A00505683949511EBAC3E6FF04984	18.3.7</t>
  </si>
  <si>
    <t>18.3.8_x000D_
0xA244C6BC1F2275E9409F0048F6093B25	18.4</t>
  </si>
  <si>
    <t>18.4.1_x000D_
0xA0641BDFE77856784CB5ADC4791F1432	18.4.10</t>
  </si>
  <si>
    <t>20_x000D_
0xBF8A3C0B880CCCE14300B5657383E5B5	20.1</t>
  </si>
  <si>
    <t>20.2_x000D_
0x84983E3215AC49BC400A7E86A6BFAEA8	20.2.1</t>
  </si>
  <si>
    <t>20.2.2_x000D_
0xB577F04EF0FF88CD4950C6745F8CEFD1	20.3</t>
  </si>
  <si>
    <t>20.3.1_x000D_
0xA5B422F92E0C383C40C481189E632C70	20.3.2</t>
  </si>
  <si>
    <t>20.3.3_x000D_
0x98EEF6308F435AA249CBE7056CA28808	20.3.4</t>
  </si>
  <si>
    <t>20.40_x000D_
0xB2B2CFF44C1778E642657B6013303443	20.45</t>
  </si>
  <si>
    <t>21_x000D_
0x84CF855EDEB2839B4B8AC348C8CC74EC	21.1</t>
  </si>
  <si>
    <t>21.1.1_x000D_
0xA4493081F5EEAA7043D15500715F64F3	21.1.2</t>
  </si>
  <si>
    <t>21.1.3_x000D_
0x8835FB6FB4EF90EA449F654E1F065FA9	21.1.4</t>
  </si>
  <si>
    <t>21.2_x000D_
0xAFCAA703C0A292E6460B74E4D0E967E4	23</t>
  </si>
  <si>
    <t>25_x000D_
0x99ACFC3A455F57D341632AE025F54240	26</t>
  </si>
  <si>
    <t>28_x000D_
0xB65BE6AF36CDD59047B5648AAAEC2B67	29</t>
  </si>
  <si>
    <t>40_x000D_
0xB87BFC97DFCD20494D1B7C503546537B	41</t>
  </si>
  <si>
    <t>41.1_x000D_
0x91A290994D36C19B40A1149048697173	41.1.1</t>
  </si>
  <si>
    <t>41.1.2_x000D_
0xB80A70A554B5444A436DE89312FF4EB0	41.1.3</t>
  </si>
  <si>
    <t>41.1.4_x000D_
0x847100505683949511F05CB1118D084B	41.1.5</t>
  </si>
  <si>
    <t>41.2_x000D_
0x8FF1275D434AC311433BE88A8E41C794	41.2.1</t>
  </si>
  <si>
    <t>41.2.2_x000D_
0x86A1C2A73A3EB02A412BCC17B2E90E4C	41.3</t>
  </si>
  <si>
    <t>41.3.1_x000D_
0xB2C702C43C7B3BB14BAB09DDA2968DA7	41.3.2</t>
  </si>
  <si>
    <t>41.3.3_x000D_
0xB5083B2C70D164E4447D7E3ED2CF6898	41.3.4</t>
  </si>
  <si>
    <t>41.3.5_x000D_
0x930442EB8842051F45FDE12767E3A84C	41.4</t>
  </si>
  <si>
    <t>41.4.1_x000D_
0x9F1A2CBB8F814671430FB74C02B4B06B	41.4.2</t>
  </si>
  <si>
    <t>41.4.3_x000D_
0xBC650E4A30F12FA44849A57D23C6A47D	41.4.4</t>
  </si>
  <si>
    <t>41.5_x000D_
0x97DC6ECA5CD82535413A263FADF2D553	41.5.1</t>
  </si>
  <si>
    <t>41.5.2_x000D_
0x8D978124BC2F7952473ED10EA8F10AC0	41.5.3</t>
  </si>
  <si>
    <t>41.5.4_x000D_
0xA93D56FE6090C1D14A1C51ECEA923DEB	41.6</t>
  </si>
  <si>
    <t>41.6.1_x000D_
0xA9E2F1FF94AA72774398B61ABA07CF3A	41.6.2</t>
  </si>
  <si>
    <t>41.6.3_x000D_
0x88F2000400B476C2402892969B2E3543	41.6.4</t>
  </si>
  <si>
    <t>41.7.1_x000D_
0xB9022FB1BD2F7D3D47825B734C5402E4	42</t>
  </si>
  <si>
    <t>42.1_x000D_
0x9F7FBFE9351F68E548647866E90CD78E	42.1.1</t>
  </si>
  <si>
    <t>42.1.2_x000D_
0x938F5C0E888425154C42FCA4377D3216	42.2</t>
  </si>
  <si>
    <t>42.2.1_x000D_
0xAFDD77CC0D3A03DB4936F198C0F76B69	42.2.2</t>
  </si>
  <si>
    <t>42.3_x000D_
0xA148D1B18E61FAB34650B309B5F15A78	42.3.1</t>
  </si>
  <si>
    <t>42.3.2_x000D_
0xB12D24747CF1689B466709124E7FDBE3	42.4</t>
  </si>
  <si>
    <t>42.4.1_x000D_
0xB2444A88C13D11E648AAA828499DD6C7	42.4.2</t>
  </si>
  <si>
    <t>43_x000D_
0xA0E3BB9C27754E9C40A27C951E5841C4	43.1</t>
  </si>
  <si>
    <t>43.1.1_x000D_
0xBA2A7EEE442D72F44734246DF9D7B9F0	43.1.2</t>
  </si>
  <si>
    <t>43.1.3_x000D_
0xAF2C8CFCA6D7B9A24282FDE5B9DF7B49	43.1.4</t>
  </si>
  <si>
    <t>43.2_x000D_
0x81AD83CDCF9CB240449B08A3C604A98E	44</t>
  </si>
  <si>
    <t>44.1_x000D_
0x9E81AA3F75D9FC81403229609193FADA	44.2</t>
  </si>
  <si>
    <t>44.3_x000D_
0x8BA1378A9289785C456857BF9B2B167D	45</t>
  </si>
  <si>
    <t>45.1_x000D_
0x9E0245478827C0EF44BD341664B44475	45.2</t>
  </si>
  <si>
    <t>45.3_x000D_
0x8A28D53E4C6A2B2E41081CC0C420270B	45.3.1</t>
  </si>
  <si>
    <t>45.3.2_x000D_
0xA339C9CD6AF321E64F5636EC963F726D	45.3.3</t>
  </si>
  <si>
    <t>45.3.4_x000D_
0x9351E5E59C5871DC4D29CCAE0176C32C	45.4</t>
  </si>
  <si>
    <t>47_x000D_
0x8459E42DC0086ECA47E4E2E9E306A41F	47.1</t>
  </si>
  <si>
    <t>47.1.1_x000D_
0xB0A7E137409E8FA84F3FC3F6D83CD60A	47.1.2</t>
  </si>
  <si>
    <t>47.1.3_x000D_
0xB6340E9A197E8D0349BB04BD55AA25CA	47.1.4</t>
  </si>
  <si>
    <t>50_x000D_
0xB1A6B714EDCDE34C402F0FE5C85A2ABF	50.1</t>
  </si>
  <si>
    <t>50.2_x000D_
0x9821F3AF46CE437346AF9CFA9DA3C592	50.3</t>
  </si>
  <si>
    <t>50.3.1_x000D_
0xB4974906B53E921F47C90D852C179506	50.3.2</t>
  </si>
  <si>
    <t>50.4_x000D_
0x9FECD3581ADCFF4649E5BCF3507C9354	50.5</t>
  </si>
  <si>
    <t>50.5.1_x000D_
0x845772FCEAD4CEC945FB8554DC180874	50.5.2</t>
  </si>
  <si>
    <t>51_x000D_
0x883F3E1E78783BB245B137D19B1941A0	52</t>
  </si>
  <si>
    <t>55_x000D_
0x923AC214DEC087044B1AE4C8736F77F6	55.01</t>
  </si>
  <si>
    <t>55.01.1_x000D_
0xA4D5B99E9AF82D314BD42EA22F940C8D	55.01.2</t>
  </si>
  <si>
    <t>55.02_x000D_
0xA132585CBA122F6A44341F59A907A8A8	55.03</t>
  </si>
  <si>
    <t>55.04_x000D_
0x8F0B6B4CC3637C8A4C16412FB13DDF32	55.1</t>
  </si>
  <si>
    <t>55.1.1_x000D_
0xABAD225747BD4F07470E82E2EA54F2E4	55.1.2</t>
  </si>
  <si>
    <t>55.2_x000D_
0xBE86796063721224471977F3C45ABD73	55.5</t>
  </si>
  <si>
    <t>55.5.1_x000D_
0x90F9E6F2CA61A67F43A08EE0673C7548	55.5.2</t>
  </si>
  <si>
    <t>55.6_x000D_
0x8D8F4659A94A692A4344138F1586159A	55.7</t>
  </si>
  <si>
    <t>55.7.1_x000D_
0xB1A1693690F075B04DB324070086C651	55.7.2</t>
  </si>
  <si>
    <t>55.8_x000D_
0x8434A78B6BFD0A9C45780F2F740A3426	55.8.1</t>
  </si>
  <si>
    <t>55.8.2_x000D_
0xB1377EE8012B27EF48D09662ABACEC51	55.9</t>
  </si>
  <si>
    <t>57_x000D_
0x9DAD6238656EBC3C43B18A3EABD67A0A	57.1</t>
  </si>
  <si>
    <t>57.1.1_x000D_
0x84AB0D4F45770FFD4EA44A7031B45527	57.1.2</t>
  </si>
  <si>
    <t>57.2_x000D_
0x876A75AC36F8A7EB4558D60B65C897CD	57.3</t>
  </si>
  <si>
    <t>57.4_x000D_
0xA5153766F3AEC4B34EEC0C301203C037	57.4.1</t>
  </si>
  <si>
    <t>57.4.2_x000D_
0xADECCDD973693F7A4DF11F94D8F0E282	58</t>
  </si>
  <si>
    <t>58.01_x000D_
0xAB599031034E4F5A4956EA74D8817F97	58.01.1</t>
  </si>
  <si>
    <t>58.01.2_x000D_
0xB12BF10C04F1D04649E67CD868BBBAB2	58.02</t>
  </si>
  <si>
    <t>58.02.1_x000D_
0x9C7C75597699B832497A52DF9A8BC7F1	58.02.2</t>
  </si>
  <si>
    <t>58.03_x000D_
0x90FCFEE5AFF5EDD2436E8EBB5BCDA50A	58.03.1</t>
  </si>
  <si>
    <t>58.03.2_x000D_
0xB348E5E7340DDA624BB8806F1FF38CF1	58.04</t>
  </si>
  <si>
    <t>58.1_x000D_
0x8A13B47B65053D0547EE2208A74C8CEC	58.1.1</t>
  </si>
  <si>
    <t>58.1.2_x000D_
0xBD9EC0FC96349A234308B9136A5C01D4	58.1.3</t>
  </si>
  <si>
    <t>58.1.4_x000D_
0xABEBEF2DC8F9D56C429E5BA600DB8155	58.1.5</t>
  </si>
  <si>
    <t>58.1.6_x000D_
0x9FECECAA044BEAF247B0E95E70B37DE6	58.10</t>
  </si>
  <si>
    <t>58.2_x000D_
0xB18CA70CC9FEA72B46F3AE2BC90CCAF4	58.2.1</t>
  </si>
  <si>
    <t>58.2.2_x000D_
0xBA8459F34FA8E623488AC95D0267DFD8	58.30</t>
  </si>
  <si>
    <t>58.30.1_x000D_
0x9F782190B9424C374EB45E7A78130388	58.30.2</t>
  </si>
  <si>
    <t>58.31_x000D_
0x98D13D3CA43CDEED4AE1C6A4ED30013C	58.31.1</t>
  </si>
  <si>
    <t>58.31.2_x000D_
0xAA362FCC164E6B1445EC9110B2174E1D	58.5</t>
  </si>
  <si>
    <t>58.5.1_x000D_
0x8E680AE82862030F494C136B62E8472E	58.5.2</t>
  </si>
  <si>
    <t>58.6_x000D_
0x846100505683949511EE4C7AE475C753	58.6.1</t>
  </si>
  <si>
    <t>58.6.2_x000D_
0x84A0B0031CB325DF4A8D49E563146A1A	60</t>
  </si>
  <si>
    <t>60.1_x000D_
0x9CD203421C2AB7D649C30428CBC1A2FB	60.1.1</t>
  </si>
  <si>
    <t>60.1.2_x000D_
0x851BBF5E7CD199BF4EEEBC1546F9183C	60.1.3</t>
  </si>
  <si>
    <t>60.1.4_x000D_
0x80BE000C297C790011EA48CF20C39CFE	60.1.5</t>
  </si>
  <si>
    <t>60.1.6_x000D_
0x80BE000C297C790011EA48CF20C39D00	60.1.7</t>
  </si>
  <si>
    <t>60.1.8_x000D_
0x92E658F6B91FC1534D92C7E7C9ABB341	60.10</t>
  </si>
  <si>
    <t>60.10.1_x000D_
0x814C36484B88AD8346219D43E1D87036	60.10.2</t>
  </si>
  <si>
    <t>60.2_x000D_
0x8091E738686C235B4B68EAC732127844	60.2.1</t>
  </si>
  <si>
    <t>60.2.11_x000D_
0x844D00505683949511ED64AB220F2B1A	60.2.12</t>
  </si>
  <si>
    <t>60.2.2_x000D_
0x80BE000C297C790011EA48CF20C39D02	60.2.3</t>
  </si>
  <si>
    <t>60.2.4_x000D_
0x80BE000C297C790011EA48CF20C39D04	60.2.5</t>
  </si>
  <si>
    <t>60.2.6_x000D_
0x80BF000C297C790011EA6DAA79EF33FC	60.2.7</t>
  </si>
  <si>
    <t>60.2.8_x000D_
0x93E2ACB3AE107DEB4F7AF50666862F6B	62</t>
  </si>
  <si>
    <t>62.1_x000D_
0x8BFD602EBBCF302B49FA8029AE826154	62.1.1</t>
  </si>
  <si>
    <t>62.1.10_x000D_
0xB1DE074FAA31816A427A918C8C08A514	62.1.2</t>
  </si>
  <si>
    <t>62.1.3_x000D_
0x80BE000C297C790011EA48CF20C39D07	62.1.4</t>
  </si>
  <si>
    <t>62.1.44_x000D_
0x80BE000C297C790011EA48CF20C39D08	62.1.5</t>
  </si>
  <si>
    <t>62.1.6_x000D_
0x80BE000C297C790011EA48CF20C39D0A	62.1.7</t>
  </si>
  <si>
    <t>62.1.8_x000D_
0x80BE000C297C790011EA48CF20C39D0C	62.1.9</t>
  </si>
  <si>
    <t>62.10_x000D_
0xB7F21ABDBDEF5CC3488960ED069EAB97	62.10.1</t>
  </si>
  <si>
    <t>62.10.2_x000D_
0x9FE634A8068511E940C51134EBBCD6B6	62.11</t>
  </si>
  <si>
    <t>62.11.1_x000D_
0xA6FF4AE9C5430CB44300441AEF0A5D60	62.11.2</t>
  </si>
  <si>
    <t>62.11.3_x000D_
0xB1B8E515024BED72474E2540FAF1B889	62.11.4</t>
  </si>
  <si>
    <t>62.3_x000D_
0xB92F4C64A74311BE4F28ECA662C1E19D	62.3.1</t>
  </si>
  <si>
    <t>62.3.2_x000D_
0xA471DB22C0659A86453A395D2A7B9C5A	62.4</t>
  </si>
  <si>
    <t>62.4.1_x000D_
0x80BE000C297C790011EA48D60FFB590A	62.4.10</t>
  </si>
  <si>
    <t>62.4.2_x000D_
0x80BE000C297C790011EA48CF20C39D0E	62.4.3</t>
  </si>
  <si>
    <t>62.4.4_x000D_
0x80BE000C297C790011EA48CF20C39D10	62.4.5</t>
  </si>
  <si>
    <t>62.4.6_x000D_
0x80BE000C297C790011EA48D60FFB5907	62.4.7</t>
  </si>
  <si>
    <t>62.4.8_x000D_
0x80BE000C297C790011EA48D60FFB5909	62.4.9</t>
  </si>
  <si>
    <t>63_x000D_
0x96389F56C56DDC16490872F47A11097B	65</t>
  </si>
  <si>
    <t>66_x000D_
0x8B8FE57FE506E8884CEEA02A33E94014	66.1</t>
  </si>
  <si>
    <t>66.1.1_x000D_
0x92D44F567BC64C8A474DB2EBCEB3A07A	66.1.2</t>
  </si>
  <si>
    <t>66.2_x000D_
0xBBD1E1352765965041EFDBDB295FBA2C	66.2.1</t>
  </si>
  <si>
    <t>66.2.2_x000D_
0x9A0FE04273F9E3644EA3E30B9BAD054D	66.3</t>
  </si>
  <si>
    <t>66.3.1_x000D_
0xA4F4FF56BBD48FCC42182C6C1113EC34	66.3.2</t>
  </si>
  <si>
    <t>66.30_x000D_
0xAFD72466FAF904134B8E43BDDB2BECF1	66.30.1</t>
  </si>
  <si>
    <t>66.30.2_x000D_
0xA92ECD898A3CD3584598BDBA6950254B	66.31</t>
  </si>
  <si>
    <t>66.31.1_x000D_
0xBDF9DAED7BD88CF945B227E0FDB8D0FB	66.31.2</t>
  </si>
  <si>
    <t>66.4_x000D_
0x8F94DD156FBCED5E42DFA80013315A6E	66.4.1</t>
  </si>
  <si>
    <t>66.4.2_x000D_
0xACB2F021C0075878481CDF62985FE022	67</t>
  </si>
  <si>
    <t>67.1_x000D_
0xBBCC730E325757E5472A7E64680EE0E5	67.1.1</t>
  </si>
  <si>
    <t>67.1.2_x000D_
0xBDBCCA5B5AD6E92D4FE4379A74E50391	67.2</t>
  </si>
  <si>
    <t>67.2.1_x000D_
0x862495E6CCD82A5A429863CD92F63630	67.2.2</t>
  </si>
  <si>
    <t>67.3_x000D_
0xAECFAD2331E0B60C4C9472DCF695475F	67.3.1</t>
  </si>
  <si>
    <t>67.3.2_x000D_
0x963FD8A151A562B849A02A3A7E5E5D07	67.4</t>
  </si>
  <si>
    <t>67.4.1_x000D_
0x87AE54A6D98FA84442CF91373364A12E	67.4.2</t>
  </si>
  <si>
    <t>68_x000D_
0x881F925CEB417D224D08342343A871B2	68.1</t>
  </si>
  <si>
    <t>68.1.1_x000D_
0x843A00505683949511EBAC3E6FF04985	68.1.10</t>
  </si>
  <si>
    <t>68.1.11_x000D_
0xA3FF8CC00F2B76FB4A738281D406F399	68.1.12</t>
  </si>
  <si>
    <t>68.1.13_x000D_
0x84B61C226FBA20D140FBB6A6AF9E5263	68.1.14</t>
  </si>
  <si>
    <t>68.1.15_x000D_
0x90678F194297E3CE495AAE534E383032	68.1.2</t>
  </si>
  <si>
    <t>68.1.3_x000D_
0xAF37D0745A80B95142F90E517C9F3CA3	68.1.4</t>
  </si>
  <si>
    <t>68.1.5_x000D_
0xA5DEAE268F7C499648DE91D308A52B2C	68.1.6</t>
  </si>
  <si>
    <t>68.1.7_x000D_
0xB83363AE4F1C90EB4F19ABD8DAA6E634	68.2</t>
  </si>
  <si>
    <t>68.2.1_x000D_
0xA2803CDF54FC96EB45756516F1083A72	68.2.2</t>
  </si>
  <si>
    <t>68.2.3_x000D_
0x9BEB182E2B0C237A42C8FA78836B6764	68.2.4</t>
  </si>
  <si>
    <t>68.2.5_x000D_
0x8866AA28E28C52EC46B9373B421D2156	68.2.6</t>
  </si>
  <si>
    <t>68.2.7_x000D_
0xAF2B337C8FE41DF84577D30B82B410D2	68.2.8</t>
  </si>
  <si>
    <t>68.2.9_x000D_
0x83A7DB983F17633C4EDA6504838DE93F	68.3</t>
  </si>
  <si>
    <t>68.3.1_x000D_
0xB92C8D9B63EC347D46E13D9E454B3368	68.3.3</t>
  </si>
  <si>
    <t>68.3.4_x000D_
0x8548680CEAF332DE4F91BCBBC294B6AE	68.3.5</t>
  </si>
  <si>
    <t>68.3.7_x000D_
0xA21012C42AC2A6914087DF4CF8912AC1	68.3.8</t>
  </si>
  <si>
    <t>68.4_x000D_
0x97271FACA129A403421533ADC5C69522	68.4.1</t>
  </si>
  <si>
    <t>68.5_x000D_
0xA6EBB3743536E192492B66B728AAABA7	68.5.1</t>
  </si>
  <si>
    <t>68.5.10_x000D_
0xA447ED2BEB076BD64E6D490D1AFCB63D	68.5.2</t>
  </si>
  <si>
    <t>68.5.3_x000D_
0x9C2F99E3FC605EF6446CD9F6875244ED	68.5.4</t>
  </si>
  <si>
    <t>69_x000D_
0xBB5BFFB975BBE34A4CEB5251618D40A5	69.1</t>
  </si>
  <si>
    <t>69.2_x000D_
0x9D90172AF829004D428B52D096A0EBE1	70</t>
  </si>
  <si>
    <t>70.1_x000D_
0x9F24F644E58F38284DC9C0D2F3C976CC	70.2</t>
  </si>
  <si>
    <t>70.3_x000D_
0xB93FA6AF4E01477849315A41A21CCAC9	71</t>
  </si>
  <si>
    <t>71.1_x000D_
0x880EF0C4E0BE88B743CB0790DA13CA9A	71.1.1</t>
  </si>
  <si>
    <t>71.1.2_x000D_
0x8D18740EC14CF86D4E2A4F60C2932B7B	71.2</t>
  </si>
  <si>
    <t>71.2.1_x000D_
0x972E84BD05BDD62D4925F61571716E0E	71.2.2</t>
  </si>
  <si>
    <t>73_x000D_
0xBB9EC25379445FEC42109FF3BB9C7BFD	73.1</t>
  </si>
  <si>
    <t>73.11_x000D_
0x830C72D2D0665D0D4CED1913F66F2A7A	73.2</t>
  </si>
  <si>
    <t>73.21_x000D_
0x843A00505683949511EBDAFBFEFA4A23	73.22</t>
  </si>
  <si>
    <t>73.3_x000D_
0xA1C3D29473A6907F406CEA128C735A0C	75</t>
  </si>
  <si>
    <t>75.1_x000D_
0x85E6520A43E5B0124435C816300476ED	75.1.1</t>
  </si>
  <si>
    <t>75.1.2_x000D_
0x846BE485BAE8DA95405AF4800A7C1907	75.2</t>
  </si>
  <si>
    <t>75.2.1_x000D_
0x89E6837C2B71EBA2485035CF7EC88305	75.2.2</t>
  </si>
  <si>
    <t>76_x000D_
0xB27FF5EEF071BD7D478CEA6AC24207A2	76.1</t>
  </si>
  <si>
    <t>76.10_x000D_
0xB7197E1F09EAFF56455D33A549A8F317	76.10.1</t>
  </si>
  <si>
    <t>76.10.2_x000D_
0xBAF18D3039D43983457C16CA55C155D8	76.11</t>
  </si>
  <si>
    <t>76.11.1_x000D_
0x8C3DF59013316D384CE1B2A07C5F80CB	76.11.2</t>
  </si>
  <si>
    <t>76.12_x000D_
0xA57E03BD9036C7FB481023C87743A11A	76.12.1</t>
  </si>
  <si>
    <t>76.12.2_x000D_
0x80BF000C297C790011EA7A731BE23E43	76.12.3</t>
  </si>
  <si>
    <t>76.12.4_x000D_
0xAE41AC3FF6CD58E1462D686DA4A68359	76.13</t>
  </si>
  <si>
    <t>76.13.1_x000D_
0x872A4C9DE70B9A7744FB9475A4B74291	76.13.2</t>
  </si>
  <si>
    <t>76.13.3_x000D_
0x80C0000C297C790011EA99CA1A4C24DF	76.13.4</t>
  </si>
  <si>
    <t>76.14_x000D_
0x911E5B93EBCFE06F4E05C4EFB99E51D4	76.14.1</t>
  </si>
  <si>
    <t>76.14.2_x000D_
0x80C0000C297C790011EA99CA1A4C24E0	76.14.3</t>
  </si>
  <si>
    <t>76.14.4_x000D_
0xB2152B4565AD113A4C15A9432043CB75	76.15</t>
  </si>
  <si>
    <t>76.15.1_x000D_
0xBE52C36015EEC572424ECBBB9A9BF461	76.15.2</t>
  </si>
  <si>
    <t>76.15.3_x000D_
0x80BE000C297C790011EA48D60FFB590C	76.15.4</t>
  </si>
  <si>
    <t>76.16_x000D_
0xB49513AD716EEF1D4A23B71308827E9B	76.16.1</t>
  </si>
  <si>
    <t>76.16.2_x000D_
0xA53D72E815DFB218468844A182400C65	76.2</t>
  </si>
  <si>
    <t>76.2.1_x000D_
0x94F652C3193E793040BD43782B30E7A8	76.2.2</t>
  </si>
  <si>
    <t>76.2.3_x000D_
0x844D00505683949511ED779F30B179D8	76.2.4</t>
  </si>
  <si>
    <t>76.20_x000D_
0xBFB36EF36D2768264764306DD48FB186	76.21</t>
  </si>
  <si>
    <t>76.21.1_x000D_
0x86208F64D89B5E1D40A70D6A4119FCE7	76.21.2</t>
  </si>
  <si>
    <t>76.3_x000D_
0x93426E47A82A2C664D501569FDC43202	76.3.1</t>
  </si>
  <si>
    <t>76.3.2_x000D_
0xAA32C411DAEE113F4BB5C9E5795161F5	76.4</t>
  </si>
  <si>
    <t>76.5_x000D_
0x922EEA57EC0B011340D7CA7A73071FB4	76.6</t>
  </si>
  <si>
    <t>76.6.1_x000D_
0x845300505683949511EDB7475ED09513	76.6.2</t>
  </si>
  <si>
    <t>76.7_x000D_
0xAACE2161E1F78D5C458AE15078275D89	76.7.1</t>
  </si>
  <si>
    <t>76.7.2_x000D_
0xAAEEEFAB723A58E34731FA18CBE572FE	76.8</t>
  </si>
  <si>
    <t>76.8.1_x000D_
0xADC4D95BAC0EF4B74DE901D65A730947	76.8.2</t>
  </si>
  <si>
    <t>76.9_x000D_
0xB6459A3ACB4303D4464D423FA2FB67DC	76.9.1</t>
  </si>
  <si>
    <t>76.9.2_x000D_
0xB128B81AB332BDF9466B208930BA26A6	79</t>
  </si>
  <si>
    <t>79.1_x000D_
0xA4DEA465998BA7CB48A8B2FDF4D6B460	79.1.1</t>
  </si>
  <si>
    <t>79.1.2_x000D_
0xBB27BF60C1293158453BB88831D6BE62	79.2</t>
  </si>
  <si>
    <t>79.2.1_x000D_
0xA97EDC95F47E95FC42605FF90D87EF12	79.2.2</t>
  </si>
  <si>
    <t>80_x000D_
0xA73F084B4AE8AC4E47D3F997A4DDDEC4	80.1</t>
  </si>
  <si>
    <t>80.2_x000D_
0x89A918D2E88A30B04B57434CD3050B84	81</t>
  </si>
  <si>
    <t>82_x000D_
0xAD73E53480294C6F4E761F13E28B46E5	83</t>
  </si>
  <si>
    <t>83.1_x000D_
0x8C2E1FD7B36EC4124D846681A74233B5	83.1.1</t>
  </si>
  <si>
    <t>83.1.2_x000D_
0x87381AE4C48396A24E3364129D8DEF87	83.1.3</t>
  </si>
  <si>
    <t>83.1.4_x000D_
0xB3C6DE93201E9F824B7E549A3577075D	83.2</t>
  </si>
  <si>
    <t>83.3_x000D_
0x88D678330AA3C5FB414318A4C54A8158	83.4</t>
  </si>
  <si>
    <t>83.5_x000D_
0xB9F8DB8DF5A6D25E4BB22DF7D5080F9A	84</t>
  </si>
  <si>
    <t>84.1_x000D_
0x9D456CB945D7BBB041B1674153ED2F9E	84.2</t>
  </si>
  <si>
    <t>86_x000D_
0xBADDFE6BA712735D446002C4D6D3068C	86.1</t>
  </si>
  <si>
    <t>86.1.1_x000D_
0xAA2D6EDE628125F8467BC002012624BD	86.1.2</t>
  </si>
  <si>
    <t>86.2_x000D_
0xBD7926BCE997AB334B7867355A45CA12	86.2.1</t>
  </si>
  <si>
    <t>86.2.2_x000D_
0x9E8C70CF486D81D449B31B04F177BFDB	90</t>
  </si>
  <si>
    <t>90.009_x000D_
0xBAF4FB1808E94F444CDEFFF709A6B9DF	90.02</t>
  </si>
  <si>
    <t>90.03_x000D_
0x85049BF31F7E632F449E1A186B8A610C	90.04</t>
  </si>
  <si>
    <t>90.05_x000D_
0xAD36B5D3E4B1DEC747C9A7253605B9F5	90.05.1</t>
  </si>
  <si>
    <t>90.05.2_x000D_
0x8D48D1F9292B1B33431A5B2BECC82BDF	90.05.3</t>
  </si>
  <si>
    <t>90.06_x000D_
0x83700887696DE9EA4C95B7D2952661F5	90.08</t>
  </si>
  <si>
    <t>90.08.1_x000D_
0x999C9897E9280C104BEFCAF3BF2DDEBB	90.08.2</t>
  </si>
  <si>
    <t>90.08.3_x000D_
0x91C8B1A662D0E684454079C6BDDEDBEA	90.09</t>
  </si>
  <si>
    <t>90.09.1_x000D_
0x9B9DA36802CD125A48E0B123705D7381	90.09.2</t>
  </si>
  <si>
    <t>90.1_x000D_
0xA1BF9208E002AC364FC9E9E6918D46F1	90.1.1</t>
  </si>
  <si>
    <t>90.1.2_x000D_
0xBB6D0A0656B4BC154BA8DCD66A3D636C	90.1.3</t>
  </si>
  <si>
    <t>90.1.4_x000D_
0x843A00505683949511EBD908F48F3008	90.10</t>
  </si>
  <si>
    <t>90.10.1_x000D_
0x843A00505683949511EBD908F48F3006	90.10.11</t>
  </si>
  <si>
    <t>90.11_x000D_
0xB6B12F7DA4ECCB314960E47EF7E91E5B	90.11.1</t>
  </si>
  <si>
    <t>90.11.2_x000D_
0x8CC7C226EA5E354C4B43AAED1ED722BA	90.2</t>
  </si>
  <si>
    <t>90.3_x000D_
0x9E8DD12EAFBD4A4948DB15A25E79F0E1	90.3.1</t>
  </si>
  <si>
    <t>90.3.2_x000D_
0x80326323BC46D6CC4EE9D0BA3267DBB2	90.3.3</t>
  </si>
  <si>
    <t>90.4_x000D_
0xBD1AD2DB500C0E3A41ADCC5D6CB7D483	90.5</t>
  </si>
  <si>
    <t>90.6_x000D_
0xB388D585226605FE4339D7D68504CD96	90.7</t>
  </si>
  <si>
    <t>90.7.1_x000D_
0x843A00505683949511EBD908F48F300B	90.7.11</t>
  </si>
  <si>
    <t>90.7.12_x000D_
0x9238B79EF2F846C04060AC09498F4B9E	90.7.2</t>
  </si>
  <si>
    <t>90.7.3_x000D_
0x9694DBBFD59455764804844F7CE672B9	90.7.4</t>
  </si>
  <si>
    <t>90.8_x000D_
0x9A53BD6D2089E1BB45B11BDD7DEF8967	90.9</t>
  </si>
  <si>
    <t>91_x000D_
0x970670690FBA39614297559789B7BD2D	91.02</t>
  </si>
  <si>
    <t>91.03_x000D_
0xB945B421152413FF4FF3808AAA1244BD	91.04</t>
  </si>
  <si>
    <t>91.1_x000D_
0x8D0D0D5528A9770F4E3E2BC7EFF35167	91.1.1</t>
  </si>
  <si>
    <t>91.1.11_x000D_
0x843A00505683949511EBD908F48F3003	91.1.12</t>
  </si>
  <si>
    <t>91.1.2_x000D_
0x8162C3C81BC20901497C096E522B4375	91.1.3</t>
  </si>
  <si>
    <t>91.1.4_x000D_
0xBB0D12EEE0CB094549F9C696518699A9	91.2</t>
  </si>
  <si>
    <t>91.3_x000D_
0x843A00505683949511EBD908F48F300A	91.4</t>
  </si>
  <si>
    <t>91.4.1_x000D_
0x843A00505683949511EBD908F48F3005	91.4.11</t>
  </si>
  <si>
    <t>91.5_x000D_
0xB64144FAA78306E5443F50D786ED6ECD	91.9</t>
  </si>
  <si>
    <t>92_x000D_
0xB8B4A15EDA852DB04B1C58DE23B3DEA1	92.1</t>
  </si>
  <si>
    <t>92.1.1_x000D_
0x9BFE6939060805AF47DC7E50317FE69D	92.1.2</t>
  </si>
  <si>
    <t>92.1.3_x000D_
0x819A36403937FF3D48DDF142590EDFAC	92.2</t>
  </si>
  <si>
    <t>92.3_x000D_
0xA3876C3AD75E5EF447714F98F283CDD9	92.4</t>
  </si>
  <si>
    <t>92.9_x000D_
0xB4890B81D33949674F71DE2243035176	94</t>
  </si>
  <si>
    <t>96_x000D_
0x81637AB0449F55204507E78A13244D77	96.1</t>
  </si>
  <si>
    <t>96.2_x000D_
0x9ACDE5052BB3F2BC4C7D56F5F4A7D2D9	97</t>
  </si>
  <si>
    <t>97.1_x000D_
0xB05C05098F401FA6460135E5E7B350A5	97.2</t>
  </si>
  <si>
    <t>97.3_x000D_
0xBF152FA89F30F29C42C47286B1A67CCE	97.4</t>
  </si>
  <si>
    <t>97.5_x000D_
0xB9A96B8D943739664A14D79DAFB4989B	97.6</t>
  </si>
  <si>
    <t>97.6.1_x000D_
0x8C4F1F3A87BB682F41D7ECDEED553579	97.6.2</t>
  </si>
  <si>
    <t>97.6.3_x000D_
0xB8353C9E3C08A20042D8E65BC139AD51	97.6.4</t>
  </si>
  <si>
    <t>97.6.5_x000D_
0x844D00505683949511ED779F30B179D9	97.6.6</t>
  </si>
  <si>
    <t>97.6.7_x000D_
0xA0EF34667A1E2164403764C10B51F226	97.7</t>
  </si>
  <si>
    <t>97.8_x000D_
0x93531BE7FBEFEC874C949CA8FDA13817	97.8.1</t>
  </si>
  <si>
    <t>97.8.3_x000D_
0xB71A5896E04AE6E54E1AFF4A351B7D16	98</t>
  </si>
  <si>
    <t>98.1_x000D_
0xAAEAAA2B7644C64248C9A0B88CB89BB2	98.10</t>
  </si>
  <si>
    <t>98.10.1_x000D_
0x8631DB4ECD43499B4167AE7E19BC399C	98.10.2</t>
  </si>
  <si>
    <t>98.11_x000D_
0xA4ECDCF54ADEE1B54D702827F826ECCF	98.11.1</t>
  </si>
  <si>
    <t>98.11.2_x000D_
0x9ACD8A941FBC493A441BFA5F6BEBBF45	98.12</t>
  </si>
  <si>
    <t>98.12.1_x000D_
0xABCAF29A0769F28C4B9B9A1C1EED7365	98.12.2</t>
  </si>
  <si>
    <t>98.13_x000D_
0xBCC25C1B0B520859493323E4F3D9B2FB	98.2</t>
  </si>
  <si>
    <t>98.3_x000D_
0x81B477B8AF1000614DAE8ACC7521CBCE	98.4</t>
  </si>
  <si>
    <t>98.5_x000D_
0xB0C1D2A0168C8C094DA85E7B6F2B9E7B	98.6</t>
  </si>
  <si>
    <t>98.7_x000D_
0xBCB8FEF24A61D48C414002B4BB497E72	98.8</t>
  </si>
  <si>
    <t>99_x000D_
0xA2449909636D34884F75BF4B558CBE8F	99.1</t>
  </si>
  <si>
    <t>99.2_x000D_
0x97AFA67EDD9F2CB149453496B73106E4	99.3</t>
  </si>
  <si>
    <t>99.4_x000D_
0x843A00505683949511EBD908F48F3009	АП</t>
  </si>
  <si>
    <t>АП.1_x000D_
0x843A00505683949511EBD908F48F3002	АП.2</t>
  </si>
  <si>
    <t>ВВР_x000D_
0xBF20D1F3FDF957EF4BDEE53BFA5E2011	ВВР.АР.НА</t>
  </si>
  <si>
    <t>ВВР.АР.РА_x000D_
0xA92D48762150EF3A4F598DDBEA8EE020	ВВР.БП.МА</t>
  </si>
  <si>
    <t>ВВР.БП.НМ_x000D_
0xA7925850C580FD39401B9AB560E89DE9	ВВР.БП.ОС</t>
  </si>
  <si>
    <t>ВВР.КР_x000D_
0x80C4000C297C790011EAE6393C66AD41	ВВР.КР.ДБ</t>
  </si>
  <si>
    <t>ВВР.ЛЗ_x000D_
0x80DC005056837C1D11EB58FE45484470	ВВР.ОТ</t>
  </si>
  <si>
    <t>ВВР.ПК_x000D_
0xB2489C74025E34B04AB44A78CE1182F5	ВВР.ПП</t>
  </si>
  <si>
    <t>ВВР.ПР_x000D_
0x9F21EEF8C844FF93467E9C0088AA0B22	ВВР.УБ</t>
  </si>
  <si>
    <t>ВВР.ШТ_x000D_
0xBEED18F78C93D85A42FC63054FB5C995	ВР</t>
  </si>
  <si>
    <t>КР.ДБП_x000D_
0x80C4000C297C790011EAE6393C66AD44	КР.РБП</t>
  </si>
  <si>
    <t>ЛЗД_x000D_
0xA32100155D48140D11E95A8FD70AD959	ЛЗД.В</t>
  </si>
  <si>
    <t>ЛЗД.Р_x000D_
0xA32100155D48140D11E95A8FD70AD955	ЛЗП</t>
  </si>
  <si>
    <t>ЛЗП.В_x000D_
0xA32100155D48140D11E95A8FD70AD957	ЛЗП.Р</t>
  </si>
  <si>
    <t>НА_x000D_
0x9F23BC925D060BB448CB77AC63A64B83	НА.В</t>
  </si>
  <si>
    <t>НА.Р_x000D_
0x9A606BAE9374EBC547E14718A68F7D72	НВР</t>
  </si>
  <si>
    <t>НВР.АП_x000D_
0xB2FBDB7FE5832E6E430DAD74718C63D0	НВР.АР</t>
  </si>
  <si>
    <t>НВР.ДИ_x000D_
0x80C4000C297C790011EAAE770BFDF742	НВР.КР</t>
  </si>
  <si>
    <t>НВР.КР.РБ_x000D_
0x893100155D48140D11E9A25E4654B4F6	НВР.ЛЗ</t>
  </si>
  <si>
    <t>НВР.ПД_x000D_
0x85AA42E3BA6FBC7A450C865EB7F67272	НВР.ПП</t>
  </si>
  <si>
    <t>НВР.ШТ_x000D_
0xAE52D84D56A990EF4096F93BA42A0DEE	НО</t>
  </si>
  <si>
    <t>НО.В_x000D_
0xA7A5DC6B12DB8E52403BF2EC22FCF328	НО.Р</t>
  </si>
  <si>
    <t>НОА_x000D_
0x85C1F497DFBEB86940DA2425DB8A0ADA	НОЗ</t>
  </si>
  <si>
    <t>НОС_x000D_
0x96665DBAC1C3D1C34012722671483010	НОШ</t>
  </si>
  <si>
    <t>НПО_x000D_
0x95D7949C31B5A39D42C1A358115164C2	НПО.В</t>
  </si>
  <si>
    <t>НПО.Р_x000D_
0xBC7029DF4A1B240D41DC3512C231BE75	ОСЛ</t>
  </si>
  <si>
    <t>ОСЛ.В_x000D_
0xAC970517B8D0C8D44246FCA54A559CCF	ОСЛ.Р</t>
  </si>
  <si>
    <t>ТЗ_x000D_
0x97BF45FFB7602A08404737139820A555	ТЗ.В</t>
  </si>
  <si>
    <t>8.0.1</t>
  </si>
  <si>
    <t>8.0.2</t>
  </si>
  <si>
    <t>13.2</t>
  </si>
  <si>
    <t>15.0.1</t>
  </si>
  <si>
    <t>15.0.2</t>
  </si>
  <si>
    <t>16.0.1</t>
  </si>
  <si>
    <t>16.0.2</t>
  </si>
  <si>
    <t>19.0.1</t>
  </si>
  <si>
    <t>19.0.2</t>
  </si>
  <si>
    <t>20.0.1</t>
  </si>
  <si>
    <t>20.0.2</t>
  </si>
  <si>
    <t>21.0.1</t>
  </si>
  <si>
    <t>21.0.2</t>
  </si>
  <si>
    <t>22.0.1</t>
  </si>
  <si>
    <t>22.0.2</t>
  </si>
  <si>
    <t>23.0.1</t>
  </si>
  <si>
    <t>23.0.2</t>
  </si>
  <si>
    <t>26.0.1</t>
  </si>
  <si>
    <t>26.0.2</t>
  </si>
  <si>
    <t>28.0.1</t>
  </si>
  <si>
    <t>28.0.2</t>
  </si>
  <si>
    <t>29.0.1</t>
  </si>
  <si>
    <t>29.0.2</t>
  </si>
  <si>
    <t>29.4.7.1</t>
  </si>
  <si>
    <t>29.4.7.2</t>
  </si>
  <si>
    <t>29.4.7.3</t>
  </si>
  <si>
    <t>29.4.7.4</t>
  </si>
  <si>
    <t>30.0.1</t>
  </si>
  <si>
    <t>30.0.2</t>
  </si>
  <si>
    <t>30.3.2.1</t>
  </si>
  <si>
    <t>30.8.1.3.1</t>
  </si>
  <si>
    <t>30.8.1.3.2</t>
  </si>
  <si>
    <t>30.8.1.3.3</t>
  </si>
  <si>
    <t>30.8.1.2</t>
  </si>
  <si>
    <t>30.8.1.3</t>
  </si>
  <si>
    <t>30.8.1.4</t>
  </si>
  <si>
    <t>30.8.1.4.1</t>
  </si>
  <si>
    <t>30.8.1.4.2</t>
  </si>
  <si>
    <t>30.8.1.4.3</t>
  </si>
  <si>
    <t>35.0.1</t>
  </si>
  <si>
    <t>35.0.2</t>
  </si>
  <si>
    <t>38.0.1</t>
  </si>
  <si>
    <t>38.0.2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</si>
</sst>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rgb="FF9C5700"/>
      <name val="Calibri"/>
      <scheme val="minor"/>
    </font>
    <font>
      <sz val="10"/>
      <name val="Arial Cyr"/>
    </font>
    <font>
      <sz val="8"/>
      <name val="Arial"/>
    </font>
    <font>
      <sz val="12"/>
      <name val="Times New Roman"/>
    </font>
    <font>
      <sz val="9"/>
      <color theme="1"/>
      <name val="Calibri"/>
      <scheme val="minor"/>
    </font>
    <font>
      <b/>
      <sz val="9"/>
      <color theme="1"/>
      <name val="Calibri"/>
      <scheme val="minor"/>
    </font>
    <font>
      <sz val="8"/>
      <name val="Calibri"/>
    </font>
    <font>
      <sz val="8"/>
      <color theme="1"/>
      <name val="Calibri"/>
      <scheme val="minor"/>
    </font>
    <font>
      <b/>
      <sz val="8"/>
      <color indexed="2"/>
      <name val="Calibri"/>
      <scheme val="minor"/>
    </font>
    <font>
      <sz val="8"/>
      <color rgb="FF363636"/>
      <name val="Arial"/>
    </font>
    <font>
      <b/>
      <sz val="8"/>
      <color theme="1"/>
      <name val="Calibri"/>
      <scheme val="minor"/>
    </font>
    <font>
      <b/>
      <sz val="12"/>
      <color theme="1"/>
      <name val="Times New Roman"/>
    </font>
    <font>
      <b/>
      <i/>
      <sz val="11"/>
      <color theme="1"/>
      <name val="Calibri"/>
      <scheme val="minor"/>
    </font>
    <font>
      <b/>
      <sz val="10"/>
      <name val="Times New Roman"/>
    </font>
    <font>
      <i/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name val="Times New Roman"/>
    </font>
    <font>
      <sz val="10"/>
      <color theme="1"/>
      <name val="Times New Roman"/>
    </font>
    <font>
      <sz val="11"/>
      <color theme="1"/>
      <name val="Calibri Light"/>
      <scheme val="major"/>
    </font>
    <font>
      <sz val="11"/>
      <name val="Calibri Light"/>
      <scheme val="major"/>
    </font>
    <font>
      <sz val="11"/>
      <name val="Times New Roman"/>
    </font>
    <font>
      <sz val="11"/>
      <color theme="1"/>
      <name val="Calibri Light"/>
    </font>
    <font>
      <sz val="10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B4C6E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indexed="5"/>
      </patternFill>
    </fill>
    <fill>
      <patternFill patternType="solid">
        <fgColor rgb="FFFFC000"/>
      </patternFill>
    </fill>
    <fill>
      <patternFill patternType="solid">
        <f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0.249977111117893"/>
        <bgColor indexed="65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2" borderId="0" applyNumberFormat="0" applyBorder="0" applyProtection="0"/>
    <xf numFmtId="0" fontId="25" fillId="0" borderId="0"/>
    <xf numFmtId="0" fontId="2" fillId="0" borderId="0"/>
    <xf numFmtId="0" fontId="3" fillId="0" borderId="0"/>
    <xf numFmtId="9" fontId="4" fillId="0" borderId="0" applyFont="0" applyFill="0" applyBorder="0" applyProtection="0"/>
  </cellStyleXfs>
  <cellXfs count="272">
    <xf numFmtId="0" fontId="0" fillId="0" borderId="0" xfId="0"/>
    <xf numFmtId="0" fontId="5" fillId="0" borderId="0" xfId="0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6" fillId="3" borderId="1" xfId="0" applyNumberFormat="1" applyFont="1" applyFill="1" applyBorder="1" applyAlignment="1">
      <alignment vertical="top"/>
    </xf>
    <xf numFmtId="0" fontId="5" fillId="3" borderId="2" xfId="0" applyFont="1" applyFill="1" applyBorder="1" applyAlignment="1">
      <alignment vertical="top" wrapText="1"/>
    </xf>
    <xf numFmtId="49" fontId="5" fillId="3" borderId="2" xfId="0" applyNumberFormat="1" applyFont="1" applyFill="1" applyBorder="1" applyAlignment="1">
      <alignment vertical="top" wrapText="1"/>
    </xf>
    <xf numFmtId="49" fontId="5" fillId="3" borderId="3" xfId="0" applyNumberFormat="1" applyFont="1" applyFill="1" applyBorder="1" applyAlignment="1">
      <alignment vertical="top" wrapText="1"/>
    </xf>
    <xf numFmtId="49" fontId="6" fillId="4" borderId="4" xfId="0" applyNumberFormat="1" applyFont="1" applyFill="1" applyBorder="1" applyAlignment="1">
      <alignment vertical="top"/>
    </xf>
    <xf numFmtId="0" fontId="6" fillId="4" borderId="4" xfId="0" applyFont="1" applyFill="1" applyBorder="1" applyAlignment="1">
      <alignment vertical="top" wrapText="1"/>
    </xf>
    <xf numFmtId="49" fontId="6" fillId="4" borderId="4" xfId="0" applyNumberFormat="1" applyFont="1" applyFill="1" applyBorder="1" applyAlignment="1">
      <alignment vertical="top" wrapText="1"/>
    </xf>
    <xf numFmtId="49" fontId="6" fillId="5" borderId="4" xfId="0" applyNumberFormat="1" applyFont="1" applyFill="1" applyBorder="1" applyAlignment="1">
      <alignment vertical="top"/>
    </xf>
    <xf numFmtId="0" fontId="6" fillId="5" borderId="4" xfId="0" applyFont="1" applyFill="1" applyBorder="1" applyAlignment="1">
      <alignment vertical="top" wrapText="1"/>
    </xf>
    <xf numFmtId="49" fontId="6" fillId="5" borderId="4" xfId="0" applyNumberFormat="1" applyFont="1" applyFill="1" applyBorder="1" applyAlignment="1">
      <alignment vertical="top" wrapText="1"/>
    </xf>
    <xf numFmtId="49" fontId="6" fillId="6" borderId="4" xfId="0" applyNumberFormat="1" applyFont="1" applyFill="1" applyBorder="1" applyAlignment="1">
      <alignment vertical="top"/>
    </xf>
    <xf numFmtId="0" fontId="6" fillId="6" borderId="4" xfId="0" applyFont="1" applyFill="1" applyBorder="1" applyAlignment="1">
      <alignment vertical="top" wrapText="1"/>
    </xf>
    <xf numFmtId="49" fontId="6" fillId="6" borderId="4" xfId="0" applyNumberFormat="1" applyFont="1" applyFill="1" applyBorder="1" applyAlignment="1">
      <alignment vertical="top" wrapText="1"/>
    </xf>
    <xf numFmtId="49" fontId="5" fillId="7" borderId="4" xfId="0" applyNumberFormat="1" applyFont="1" applyFill="1" applyBorder="1" applyAlignment="1">
      <alignment vertical="top"/>
    </xf>
    <xf numFmtId="0" fontId="5" fillId="7" borderId="4" xfId="0" applyFont="1" applyFill="1" applyBorder="1" applyAlignment="1">
      <alignment vertical="top" wrapText="1"/>
    </xf>
    <xf numFmtId="49" fontId="5" fillId="7" borderId="4" xfId="0" applyNumberFormat="1" applyFont="1" applyFill="1" applyBorder="1" applyAlignment="1">
      <alignment vertical="top" wrapText="1"/>
    </xf>
    <xf numFmtId="49" fontId="5" fillId="8" borderId="4" xfId="0" applyNumberFormat="1" applyFont="1" applyFill="1" applyBorder="1" applyAlignment="1">
      <alignment vertical="top"/>
    </xf>
    <xf numFmtId="0" fontId="5" fillId="8" borderId="4" xfId="0" applyFont="1" applyFill="1" applyBorder="1" applyAlignment="1">
      <alignment vertical="top" wrapText="1"/>
    </xf>
    <xf numFmtId="49" fontId="5" fillId="8" borderId="4" xfId="0" applyNumberFormat="1" applyFont="1" applyFill="1" applyBorder="1" applyAlignment="1">
      <alignment vertical="top" wrapText="1"/>
    </xf>
    <xf numFmtId="49" fontId="6" fillId="9" borderId="4" xfId="0" applyNumberFormat="1" applyFont="1" applyFill="1" applyBorder="1" applyAlignment="1">
      <alignment vertical="top"/>
    </xf>
    <xf numFmtId="49" fontId="6" fillId="9" borderId="4" xfId="0" applyNumberFormat="1" applyFont="1" applyFill="1" applyBorder="1" applyAlignment="1">
      <alignment vertical="top" wrapText="1"/>
    </xf>
    <xf numFmtId="49" fontId="5" fillId="9" borderId="4" xfId="0" applyNumberFormat="1" applyFont="1" applyFill="1" applyBorder="1" applyAlignment="1">
      <alignment vertical="top" wrapText="1"/>
    </xf>
    <xf numFmtId="49" fontId="5" fillId="10" borderId="4" xfId="0" applyNumberFormat="1" applyFont="1" applyFill="1" applyBorder="1" applyAlignment="1">
      <alignment vertical="top"/>
    </xf>
    <xf numFmtId="49" fontId="5" fillId="10" borderId="4" xfId="0" applyNumberFormat="1" applyFont="1" applyFill="1" applyBorder="1" applyAlignment="1">
      <alignment vertical="top" wrapText="1"/>
    </xf>
    <xf numFmtId="49" fontId="6" fillId="11" borderId="4" xfId="0" applyNumberFormat="1" applyFont="1" applyFill="1" applyBorder="1" applyAlignment="1">
      <alignment vertical="top"/>
    </xf>
    <xf numFmtId="0" fontId="6" fillId="11" borderId="4" xfId="0" applyFont="1" applyFill="1" applyBorder="1" applyAlignment="1">
      <alignment vertical="top" wrapText="1"/>
    </xf>
    <xf numFmtId="49" fontId="6" fillId="11" borderId="4" xfId="0" applyNumberFormat="1" applyFont="1" applyFill="1" applyBorder="1" applyAlignment="1">
      <alignment vertical="top" wrapText="1"/>
    </xf>
    <xf numFmtId="49" fontId="5" fillId="6" borderId="4" xfId="0" applyNumberFormat="1" applyFont="1" applyFill="1" applyBorder="1" applyAlignment="1">
      <alignment vertical="top"/>
    </xf>
    <xf numFmtId="0" fontId="5" fillId="6" borderId="4" xfId="0" applyFont="1" applyFill="1" applyBorder="1" applyAlignment="1">
      <alignment vertical="top" wrapText="1"/>
    </xf>
    <xf numFmtId="49" fontId="5" fillId="6" borderId="4" xfId="0" applyNumberFormat="1" applyFont="1" applyFill="1" applyBorder="1" applyAlignment="1">
      <alignment vertical="top" wrapText="1"/>
    </xf>
    <xf numFmtId="0" fontId="7" fillId="12" borderId="4" xfId="0" applyFont="1" applyFill="1" applyBorder="1" applyAlignment="1">
      <alignment horizontal="left" vertical="center" wrapText="1"/>
    </xf>
    <xf numFmtId="0" fontId="8" fillId="0" borderId="4" xfId="0" applyFont="1" applyBorder="1"/>
    <xf numFmtId="49" fontId="8" fillId="6" borderId="4" xfId="0" applyNumberFormat="1" applyFont="1" applyFill="1" applyBorder="1" applyAlignment="1">
      <alignment vertical="top"/>
    </xf>
    <xf numFmtId="0" fontId="8" fillId="6" borderId="4" xfId="0" applyFont="1" applyFill="1" applyBorder="1" applyAlignment="1">
      <alignment vertical="top" wrapText="1"/>
    </xf>
    <xf numFmtId="49" fontId="8" fillId="6" borderId="4" xfId="0" applyNumberFormat="1" applyFont="1" applyFill="1" applyBorder="1" applyAlignment="1">
      <alignment vertical="top" wrapText="1"/>
    </xf>
    <xf numFmtId="49" fontId="8" fillId="7" borderId="4" xfId="0" applyNumberFormat="1" applyFont="1" applyFill="1" applyBorder="1" applyAlignment="1">
      <alignment vertical="top"/>
    </xf>
    <xf numFmtId="0" fontId="8" fillId="7" borderId="4" xfId="0" applyFont="1" applyFill="1" applyBorder="1" applyAlignment="1">
      <alignment vertical="top" wrapText="1"/>
    </xf>
    <xf numFmtId="49" fontId="8" fillId="7" borderId="4" xfId="0" applyNumberFormat="1" applyFont="1" applyFill="1" applyBorder="1" applyAlignment="1">
      <alignment vertical="top" wrapText="1"/>
    </xf>
    <xf numFmtId="49" fontId="8" fillId="10" borderId="4" xfId="0" applyNumberFormat="1" applyFont="1" applyFill="1" applyBorder="1" applyAlignment="1">
      <alignment vertical="top"/>
    </xf>
    <xf numFmtId="0" fontId="8" fillId="10" borderId="4" xfId="0" applyFont="1" applyFill="1" applyBorder="1" applyAlignment="1">
      <alignment vertical="top" wrapText="1"/>
    </xf>
    <xf numFmtId="49" fontId="8" fillId="10" borderId="4" xfId="0" applyNumberFormat="1" applyFont="1" applyFill="1" applyBorder="1" applyAlignment="1">
      <alignment vertical="top" wrapText="1"/>
    </xf>
    <xf numFmtId="49" fontId="8" fillId="8" borderId="4" xfId="0" applyNumberFormat="1" applyFont="1" applyFill="1" applyBorder="1" applyAlignment="1">
      <alignment vertical="top"/>
    </xf>
    <xf numFmtId="0" fontId="8" fillId="8" borderId="4" xfId="0" applyFont="1" applyFill="1" applyBorder="1" applyAlignment="1">
      <alignment vertical="top" wrapText="1"/>
    </xf>
    <xf numFmtId="49" fontId="8" fillId="8" borderId="4" xfId="0" applyNumberFormat="1" applyFont="1" applyFill="1" applyBorder="1" applyAlignment="1">
      <alignment vertical="top" wrapText="1"/>
    </xf>
    <xf numFmtId="49" fontId="8" fillId="13" borderId="4" xfId="0" applyNumberFormat="1" applyFont="1" applyFill="1" applyBorder="1" applyAlignment="1">
      <alignment vertical="top"/>
    </xf>
    <xf numFmtId="0" fontId="8" fillId="13" borderId="4" xfId="0" applyFont="1" applyFill="1" applyBorder="1" applyAlignment="1">
      <alignment vertical="top" wrapText="1"/>
    </xf>
    <xf numFmtId="49" fontId="8" fillId="13" borderId="4" xfId="0" applyNumberFormat="1" applyFont="1" applyFill="1" applyBorder="1" applyAlignment="1">
      <alignment vertical="top" wrapText="1"/>
    </xf>
    <xf numFmtId="0" fontId="8" fillId="0" borderId="0" xfId="0" applyFont="1"/>
    <xf numFmtId="49" fontId="8" fillId="0" borderId="0" xfId="0" applyNumberFormat="1" applyFont="1" applyAlignment="1">
      <alignment vertical="top"/>
    </xf>
    <xf numFmtId="0" fontId="8" fillId="0" borderId="0" xfId="0" applyFont="1" applyAlignment="1">
      <alignment vertical="top" wrapText="1"/>
    </xf>
    <xf numFmtId="49" fontId="8" fillId="0" borderId="0" xfId="0" applyNumberFormat="1" applyFont="1" applyAlignment="1">
      <alignment vertical="top" wrapText="1"/>
    </xf>
    <xf numFmtId="0" fontId="8" fillId="0" borderId="4" xfId="0" applyFont="1" applyBorder="1" applyAlignment="1">
      <alignment wrapText="1"/>
    </xf>
    <xf numFmtId="49" fontId="8" fillId="14" borderId="4" xfId="0" applyNumberFormat="1" applyFont="1" applyFill="1" applyBorder="1" applyAlignment="1">
      <alignment vertical="top"/>
    </xf>
    <xf numFmtId="0" fontId="8" fillId="14" borderId="4" xfId="0" applyFont="1" applyFill="1" applyBorder="1" applyAlignment="1">
      <alignment vertical="top" wrapText="1"/>
    </xf>
    <xf numFmtId="49" fontId="8" fillId="15" borderId="4" xfId="0" applyNumberFormat="1" applyFont="1" applyFill="1" applyBorder="1" applyAlignment="1">
      <alignment vertical="top" wrapText="1"/>
    </xf>
    <xf numFmtId="49" fontId="8" fillId="14" borderId="4" xfId="0" applyNumberFormat="1" applyFont="1" applyFill="1" applyBorder="1" applyAlignment="1">
      <alignment vertical="top" wrapText="1"/>
    </xf>
    <xf numFmtId="0" fontId="8" fillId="16" borderId="4" xfId="0" applyFont="1" applyFill="1" applyBorder="1" applyAlignment="1">
      <alignment vertical="top" wrapText="1"/>
    </xf>
    <xf numFmtId="0" fontId="8" fillId="17" borderId="4" xfId="0" applyFont="1" applyFill="1" applyBorder="1" applyAlignment="1">
      <alignment vertical="top" wrapText="1"/>
    </xf>
    <xf numFmtId="49" fontId="8" fillId="16" borderId="4" xfId="0" applyNumberFormat="1" applyFont="1" applyFill="1" applyBorder="1" applyAlignment="1">
      <alignment vertical="top" wrapText="1"/>
    </xf>
    <xf numFmtId="49" fontId="8" fillId="9" borderId="4" xfId="0" applyNumberFormat="1" applyFont="1" applyFill="1" applyBorder="1" applyAlignment="1">
      <alignment vertical="top"/>
    </xf>
    <xf numFmtId="0" fontId="8" fillId="9" borderId="4" xfId="0" applyFont="1" applyFill="1" applyBorder="1" applyAlignment="1">
      <alignment vertical="top" wrapText="1"/>
    </xf>
    <xf numFmtId="49" fontId="8" fillId="9" borderId="4" xfId="0" applyNumberFormat="1" applyFont="1" applyFill="1" applyBorder="1" applyAlignment="1">
      <alignment vertical="top" wrapText="1"/>
    </xf>
    <xf numFmtId="49" fontId="8" fillId="10" borderId="5" xfId="0" applyNumberFormat="1" applyFont="1" applyFill="1" applyBorder="1" applyAlignment="1">
      <alignment vertical="top"/>
    </xf>
    <xf numFmtId="0" fontId="8" fillId="10" borderId="5" xfId="0" applyFont="1" applyFill="1" applyBorder="1" applyAlignment="1">
      <alignment vertical="top" wrapText="1"/>
    </xf>
    <xf numFmtId="49" fontId="8" fillId="7" borderId="5" xfId="0" applyNumberFormat="1" applyFont="1" applyFill="1" applyBorder="1" applyAlignment="1">
      <alignment vertical="top" wrapText="1"/>
    </xf>
    <xf numFmtId="49" fontId="8" fillId="6" borderId="6" xfId="0" applyNumberFormat="1" applyFont="1" applyFill="1" applyBorder="1" applyAlignment="1">
      <alignment vertical="top" wrapText="1"/>
    </xf>
    <xf numFmtId="0" fontId="8" fillId="6" borderId="6" xfId="0" applyFont="1" applyFill="1" applyBorder="1" applyAlignment="1">
      <alignment vertical="top" wrapText="1"/>
    </xf>
    <xf numFmtId="49" fontId="8" fillId="17" borderId="4" xfId="0" applyNumberFormat="1" applyFont="1" applyFill="1" applyBorder="1" applyAlignment="1">
      <alignment vertical="top" wrapText="1"/>
    </xf>
    <xf numFmtId="49" fontId="8" fillId="17" borderId="4" xfId="0" quotePrefix="1" applyNumberFormat="1" applyFont="1" applyFill="1" applyBorder="1" applyAlignment="1">
      <alignment vertical="top" wrapText="1"/>
    </xf>
    <xf numFmtId="49" fontId="8" fillId="11" borderId="4" xfId="0" applyNumberFormat="1" applyFont="1" applyFill="1" applyBorder="1" applyAlignment="1">
      <alignment vertical="top"/>
    </xf>
    <xf numFmtId="0" fontId="8" fillId="11" borderId="4" xfId="0" applyFont="1" applyFill="1" applyBorder="1" applyAlignment="1">
      <alignment vertical="top" wrapText="1"/>
    </xf>
    <xf numFmtId="49" fontId="8" fillId="11" borderId="4" xfId="0" applyNumberFormat="1" applyFont="1" applyFill="1" applyBorder="1" applyAlignment="1">
      <alignment vertical="top" wrapText="1"/>
    </xf>
    <xf numFmtId="49" fontId="8" fillId="8" borderId="4" xfId="0" quotePrefix="1" applyNumberFormat="1" applyFont="1" applyFill="1" applyBorder="1" applyAlignment="1">
      <alignment vertical="top" wrapText="1"/>
    </xf>
    <xf numFmtId="0" fontId="8" fillId="0" borderId="4" xfId="0" applyFont="1" applyBorder="1" applyAlignment="1">
      <alignment vertical="center"/>
    </xf>
    <xf numFmtId="49" fontId="8" fillId="6" borderId="4" xfId="0" quotePrefix="1" applyNumberFormat="1" applyFont="1" applyFill="1" applyBorder="1" applyAlignment="1">
      <alignment vertical="top" wrapText="1"/>
    </xf>
    <xf numFmtId="0" fontId="8" fillId="15" borderId="4" xfId="0" applyFont="1" applyFill="1" applyBorder="1"/>
    <xf numFmtId="0" fontId="8" fillId="15" borderId="4" xfId="0" applyFont="1" applyFill="1" applyBorder="1" applyAlignment="1">
      <alignment vertical="top" wrapText="1"/>
    </xf>
    <xf numFmtId="0" fontId="8" fillId="18" borderId="0" xfId="0" applyFont="1" applyFill="1"/>
    <xf numFmtId="0" fontId="8" fillId="18" borderId="4" xfId="0" applyFont="1" applyFill="1" applyBorder="1"/>
    <xf numFmtId="0" fontId="8" fillId="18" borderId="4" xfId="0" applyFont="1" applyFill="1" applyBorder="1" applyAlignment="1">
      <alignment vertical="top" wrapText="1"/>
    </xf>
    <xf numFmtId="49" fontId="8" fillId="18" borderId="4" xfId="0" applyNumberFormat="1" applyFont="1" applyFill="1" applyBorder="1" applyAlignment="1">
      <alignment vertical="top" wrapText="1"/>
    </xf>
    <xf numFmtId="49" fontId="8" fillId="15" borderId="4" xfId="0" applyNumberFormat="1" applyFont="1" applyFill="1" applyBorder="1" applyAlignment="1">
      <alignment vertical="top"/>
    </xf>
    <xf numFmtId="0" fontId="9" fillId="8" borderId="4" xfId="0" applyFont="1" applyFill="1" applyBorder="1" applyAlignment="1">
      <alignment vertical="top" wrapText="1"/>
    </xf>
    <xf numFmtId="49" fontId="8" fillId="15" borderId="4" xfId="0" quotePrefix="1" applyNumberFormat="1" applyFont="1" applyFill="1" applyBorder="1" applyAlignment="1">
      <alignment vertical="top" wrapText="1"/>
    </xf>
    <xf numFmtId="49" fontId="8" fillId="19" borderId="4" xfId="0" applyNumberFormat="1" applyFont="1" applyFill="1" applyBorder="1" applyAlignment="1">
      <alignment vertical="top"/>
    </xf>
    <xf numFmtId="0" fontId="8" fillId="19" borderId="4" xfId="0" applyFont="1" applyFill="1" applyBorder="1" applyAlignment="1">
      <alignment vertical="top" wrapText="1"/>
    </xf>
    <xf numFmtId="49" fontId="8" fillId="19" borderId="4" xfId="0" applyNumberFormat="1" applyFont="1" applyFill="1" applyBorder="1" applyAlignment="1">
      <alignment vertical="top" wrapText="1"/>
    </xf>
    <xf numFmtId="49" fontId="8" fillId="10" borderId="4" xfId="0" applyNumberFormat="1" applyFont="1" applyFill="1" applyBorder="1" applyAlignment="1">
      <alignment wrapText="1"/>
    </xf>
    <xf numFmtId="49" fontId="8" fillId="8" borderId="4" xfId="0" applyNumberFormat="1" applyFont="1" applyFill="1" applyBorder="1" applyAlignment="1">
      <alignment wrapText="1"/>
    </xf>
    <xf numFmtId="0" fontId="8" fillId="10" borderId="4" xfId="0" applyFont="1" applyFill="1" applyBorder="1"/>
    <xf numFmtId="49" fontId="8" fillId="10" borderId="4" xfId="0" quotePrefix="1" applyNumberFormat="1" applyFont="1" applyFill="1" applyBorder="1" applyAlignment="1">
      <alignment vertical="top" wrapText="1"/>
    </xf>
    <xf numFmtId="16" fontId="8" fillId="17" borderId="4" xfId="0" quotePrefix="1" applyNumberFormat="1" applyFont="1" applyFill="1" applyBorder="1" applyAlignment="1">
      <alignment vertical="top" wrapText="1"/>
    </xf>
    <xf numFmtId="0" fontId="10" fillId="20" borderId="4" xfId="0" applyFont="1" applyFill="1" applyBorder="1" applyAlignment="1">
      <alignment horizontal="left" vertical="top"/>
    </xf>
    <xf numFmtId="0" fontId="8" fillId="6" borderId="4" xfId="0" quotePrefix="1" applyFont="1" applyFill="1" applyBorder="1" applyAlignment="1">
      <alignment vertical="top" wrapText="1"/>
    </xf>
    <xf numFmtId="49" fontId="11" fillId="3" borderId="1" xfId="0" applyNumberFormat="1" applyFont="1" applyFill="1" applyBorder="1" applyAlignment="1">
      <alignment vertical="top"/>
    </xf>
    <xf numFmtId="0" fontId="8" fillId="3" borderId="2" xfId="0" applyFont="1" applyFill="1" applyBorder="1" applyAlignment="1">
      <alignment vertical="top" wrapText="1"/>
    </xf>
    <xf numFmtId="49" fontId="8" fillId="3" borderId="2" xfId="0" applyNumberFormat="1" applyFont="1" applyFill="1" applyBorder="1" applyAlignment="1">
      <alignment vertical="top" wrapText="1"/>
    </xf>
    <xf numFmtId="49" fontId="8" fillId="3" borderId="3" xfId="0" applyNumberFormat="1" applyFont="1" applyFill="1" applyBorder="1" applyAlignment="1">
      <alignment vertical="top" wrapText="1"/>
    </xf>
    <xf numFmtId="0" fontId="11" fillId="21" borderId="0" xfId="0" applyFont="1" applyFill="1" applyAlignment="1">
      <alignment vertical="top" wrapText="1"/>
    </xf>
    <xf numFmtId="0" fontId="8" fillId="8" borderId="4" xfId="0" quotePrefix="1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18" borderId="7" xfId="2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7" fillId="0" borderId="12" xfId="2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/>
    </xf>
    <xf numFmtId="0" fontId="19" fillId="0" borderId="15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8" fillId="0" borderId="4" xfId="0" applyFont="1" applyBorder="1" applyAlignment="1">
      <alignment vertical="top"/>
    </xf>
    <xf numFmtId="0" fontId="19" fillId="0" borderId="18" xfId="0" applyFont="1" applyBorder="1" applyAlignment="1">
      <alignment horizontal="center"/>
    </xf>
    <xf numFmtId="0" fontId="18" fillId="0" borderId="21" xfId="0" applyFont="1" applyBorder="1" applyAlignment="1">
      <alignment horizontal="left" vertical="center" wrapText="1"/>
    </xf>
    <xf numFmtId="0" fontId="18" fillId="0" borderId="5" xfId="0" applyFont="1" applyBorder="1" applyAlignment="1">
      <alignment vertical="top"/>
    </xf>
    <xf numFmtId="0" fontId="19" fillId="0" borderId="22" xfId="0" applyFont="1" applyBorder="1" applyAlignment="1">
      <alignment horizontal="center"/>
    </xf>
    <xf numFmtId="0" fontId="18" fillId="0" borderId="14" xfId="0" applyFont="1" applyBorder="1" applyAlignment="1">
      <alignment vertical="top"/>
    </xf>
    <xf numFmtId="0" fontId="18" fillId="0" borderId="30" xfId="0" applyFont="1" applyBorder="1" applyAlignment="1">
      <alignment vertical="top"/>
    </xf>
    <xf numFmtId="0" fontId="19" fillId="0" borderId="31" xfId="0" applyFont="1" applyBorder="1" applyAlignment="1">
      <alignment horizontal="center"/>
    </xf>
    <xf numFmtId="0" fontId="0" fillId="0" borderId="4" xfId="0" applyBorder="1"/>
    <xf numFmtId="0" fontId="17" fillId="0" borderId="13" xfId="2" applyFont="1" applyBorder="1" applyAlignment="1">
      <alignment horizontal="left" vertical="center" wrapText="1"/>
    </xf>
    <xf numFmtId="0" fontId="17" fillId="0" borderId="37" xfId="2" applyFont="1" applyBorder="1" applyAlignment="1">
      <alignment horizontal="left" vertical="center" wrapText="1"/>
    </xf>
    <xf numFmtId="0" fontId="17" fillId="0" borderId="15" xfId="2" applyFont="1" applyBorder="1" applyAlignment="1">
      <alignment horizontal="center" vertical="distributed" wrapText="1"/>
    </xf>
    <xf numFmtId="0" fontId="17" fillId="0" borderId="27" xfId="2" applyFont="1" applyBorder="1" applyAlignment="1">
      <alignment horizontal="left" vertical="center" wrapText="1"/>
    </xf>
    <xf numFmtId="0" fontId="17" fillId="0" borderId="39" xfId="2" applyFont="1" applyBorder="1" applyAlignment="1">
      <alignment horizontal="left" vertical="center" wrapText="1"/>
    </xf>
    <xf numFmtId="0" fontId="17" fillId="0" borderId="18" xfId="2" applyFont="1" applyBorder="1" applyAlignment="1">
      <alignment horizontal="center" vertical="distributed" wrapText="1"/>
    </xf>
    <xf numFmtId="3" fontId="17" fillId="0" borderId="27" xfId="5" applyNumberFormat="1" applyFont="1" applyBorder="1" applyAlignment="1">
      <alignment horizontal="left" vertical="center" wrapText="1"/>
    </xf>
    <xf numFmtId="3" fontId="17" fillId="0" borderId="39" xfId="5" applyNumberFormat="1" applyFont="1" applyBorder="1" applyAlignment="1">
      <alignment horizontal="left" vertical="center" wrapText="1"/>
    </xf>
    <xf numFmtId="0" fontId="17" fillId="0" borderId="32" xfId="2" applyFont="1" applyBorder="1" applyAlignment="1">
      <alignment horizontal="left" vertical="center" wrapText="1"/>
    </xf>
    <xf numFmtId="0" fontId="17" fillId="0" borderId="41" xfId="2" applyFont="1" applyBorder="1" applyAlignment="1">
      <alignment horizontal="left" vertical="center" wrapText="1"/>
    </xf>
    <xf numFmtId="0" fontId="17" fillId="0" borderId="31" xfId="2" applyFont="1" applyBorder="1" applyAlignment="1">
      <alignment horizontal="center" vertical="distributed" wrapText="1"/>
    </xf>
    <xf numFmtId="0" fontId="17" fillId="0" borderId="7" xfId="2" applyFont="1" applyBorder="1" applyAlignment="1">
      <alignment horizontal="left" vertical="center" wrapText="1"/>
    </xf>
    <xf numFmtId="0" fontId="17" fillId="0" borderId="42" xfId="2" applyFont="1" applyBorder="1" applyAlignment="1">
      <alignment horizontal="left" vertical="center" wrapText="1"/>
    </xf>
    <xf numFmtId="0" fontId="17" fillId="0" borderId="2" xfId="2" applyFont="1" applyBorder="1" applyAlignment="1">
      <alignment horizontal="left" vertical="center" wrapText="1"/>
    </xf>
    <xf numFmtId="0" fontId="17" fillId="0" borderId="43" xfId="2" applyFont="1" applyBorder="1" applyAlignment="1">
      <alignment horizontal="center" vertical="distributed" wrapText="1"/>
    </xf>
    <xf numFmtId="0" fontId="17" fillId="0" borderId="44" xfId="2" applyFont="1" applyBorder="1" applyAlignment="1">
      <alignment horizontal="left" vertical="center" wrapText="1"/>
    </xf>
    <xf numFmtId="0" fontId="17" fillId="0" borderId="45" xfId="2" applyFont="1" applyBorder="1" applyAlignment="1">
      <alignment horizontal="left" vertical="center" wrapText="1"/>
    </xf>
    <xf numFmtId="0" fontId="17" fillId="0" borderId="46" xfId="2" applyFont="1" applyBorder="1" applyAlignment="1">
      <alignment horizontal="left" vertical="center" wrapText="1"/>
    </xf>
    <xf numFmtId="0" fontId="17" fillId="0" borderId="28" xfId="2" applyFont="1" applyBorder="1" applyAlignment="1">
      <alignment horizontal="left" vertical="center" wrapText="1"/>
    </xf>
    <xf numFmtId="0" fontId="17" fillId="0" borderId="0" xfId="2" applyFont="1" applyAlignment="1">
      <alignment horizontal="left" vertical="center" wrapText="1"/>
    </xf>
    <xf numFmtId="0" fontId="17" fillId="0" borderId="47" xfId="2" applyFont="1" applyBorder="1" applyAlignment="1">
      <alignment horizontal="center" vertical="distributed" wrapText="1"/>
    </xf>
    <xf numFmtId="0" fontId="17" fillId="0" borderId="48" xfId="2" applyFont="1" applyBorder="1" applyAlignment="1">
      <alignment horizontal="left" vertical="center" wrapText="1"/>
    </xf>
    <xf numFmtId="0" fontId="17" fillId="0" borderId="49" xfId="2" applyFont="1" applyBorder="1" applyAlignment="1">
      <alignment horizontal="left" vertical="center" wrapText="1"/>
    </xf>
    <xf numFmtId="0" fontId="17" fillId="0" borderId="3" xfId="2" applyFont="1" applyBorder="1" applyAlignment="1">
      <alignment horizontal="center" vertical="distributed" wrapText="1"/>
    </xf>
    <xf numFmtId="0" fontId="17" fillId="0" borderId="14" xfId="3" applyFont="1" applyBorder="1" applyAlignment="1">
      <alignment vertical="distributed" wrapText="1"/>
    </xf>
    <xf numFmtId="0" fontId="22" fillId="0" borderId="15" xfId="0" applyFont="1" applyBorder="1" applyAlignment="1">
      <alignment horizontal="center"/>
    </xf>
    <xf numFmtId="0" fontId="17" fillId="0" borderId="4" xfId="3" applyFont="1" applyBorder="1" applyAlignment="1">
      <alignment vertical="distributed" wrapText="1"/>
    </xf>
    <xf numFmtId="0" fontId="22" fillId="0" borderId="18" xfId="0" applyFont="1" applyBorder="1" applyAlignment="1">
      <alignment horizontal="center"/>
    </xf>
    <xf numFmtId="0" fontId="17" fillId="0" borderId="5" xfId="3" applyFont="1" applyBorder="1" applyAlignment="1">
      <alignment vertical="distributed" wrapText="1"/>
    </xf>
    <xf numFmtId="0" fontId="22" fillId="0" borderId="22" xfId="0" applyFont="1" applyBorder="1" applyAlignment="1">
      <alignment horizontal="center"/>
    </xf>
    <xf numFmtId="0" fontId="18" fillId="0" borderId="14" xfId="3" applyFont="1" applyBorder="1" applyAlignment="1">
      <alignment vertical="distributed" wrapText="1"/>
    </xf>
    <xf numFmtId="0" fontId="18" fillId="0" borderId="4" xfId="3" applyFont="1" applyBorder="1" applyAlignment="1">
      <alignment vertical="distributed" wrapText="1"/>
    </xf>
    <xf numFmtId="0" fontId="18" fillId="0" borderId="30" xfId="3" applyFont="1" applyBorder="1" applyAlignment="1">
      <alignment vertical="distributed" wrapText="1"/>
    </xf>
    <xf numFmtId="0" fontId="22" fillId="0" borderId="31" xfId="0" applyFont="1" applyBorder="1" applyAlignment="1">
      <alignment horizontal="center"/>
    </xf>
    <xf numFmtId="0" fontId="18" fillId="0" borderId="5" xfId="3" applyFont="1" applyBorder="1" applyAlignment="1">
      <alignment vertical="distributed" wrapText="1"/>
    </xf>
    <xf numFmtId="0" fontId="24" fillId="0" borderId="15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17" fillId="0" borderId="12" xfId="1" applyFont="1" applyFill="1" applyBorder="1" applyAlignment="1">
      <alignment horizontal="left" vertical="center" wrapText="1"/>
    </xf>
    <xf numFmtId="0" fontId="17" fillId="0" borderId="44" xfId="1" applyFont="1" applyFill="1" applyBorder="1" applyAlignment="1">
      <alignment horizontal="left" vertical="center" wrapText="1"/>
    </xf>
    <xf numFmtId="0" fontId="17" fillId="0" borderId="37" xfId="1" applyFont="1" applyFill="1" applyBorder="1" applyAlignment="1">
      <alignment horizontal="left" vertical="center" wrapText="1"/>
    </xf>
    <xf numFmtId="0" fontId="17" fillId="0" borderId="15" xfId="1" applyFont="1" applyFill="1" applyBorder="1" applyAlignment="1">
      <alignment horizontal="center" vertical="center" wrapText="1"/>
    </xf>
    <xf numFmtId="0" fontId="17" fillId="0" borderId="13" xfId="1" applyFont="1" applyFill="1" applyBorder="1" applyAlignment="1">
      <alignment horizontal="left" vertical="center" wrapText="1"/>
    </xf>
    <xf numFmtId="0" fontId="17" fillId="0" borderId="27" xfId="1" applyFont="1" applyFill="1" applyBorder="1" applyAlignment="1">
      <alignment horizontal="left" vertical="center" wrapText="1"/>
    </xf>
    <xf numFmtId="0" fontId="17" fillId="0" borderId="39" xfId="1" applyFont="1" applyFill="1" applyBorder="1" applyAlignment="1">
      <alignment horizontal="left" vertical="center" wrapText="1"/>
    </xf>
    <xf numFmtId="0" fontId="17" fillId="0" borderId="18" xfId="1" applyFont="1" applyFill="1" applyBorder="1" applyAlignment="1">
      <alignment horizontal="center" vertical="center" wrapText="1"/>
    </xf>
    <xf numFmtId="0" fontId="17" fillId="0" borderId="32" xfId="1" applyFont="1" applyFill="1" applyBorder="1" applyAlignment="1">
      <alignment horizontal="left" vertical="center" wrapText="1"/>
    </xf>
    <xf numFmtId="0" fontId="17" fillId="0" borderId="41" xfId="1" applyFont="1" applyFill="1" applyBorder="1" applyAlignment="1">
      <alignment horizontal="left" vertical="center" wrapText="1"/>
    </xf>
    <xf numFmtId="0" fontId="17" fillId="0" borderId="31" xfId="1" applyFont="1" applyFill="1" applyBorder="1" applyAlignment="1">
      <alignment horizontal="center" vertical="center" wrapText="1"/>
    </xf>
    <xf numFmtId="0" fontId="17" fillId="0" borderId="21" xfId="1" applyFont="1" applyFill="1" applyBorder="1" applyAlignment="1">
      <alignment horizontal="left" vertical="center" wrapText="1"/>
    </xf>
    <xf numFmtId="0" fontId="17" fillId="0" borderId="53" xfId="1" applyFont="1" applyFill="1" applyBorder="1" applyAlignment="1">
      <alignment horizontal="left" vertical="center" wrapText="1"/>
    </xf>
    <xf numFmtId="0" fontId="17" fillId="0" borderId="22" xfId="1" applyFont="1" applyFill="1" applyBorder="1" applyAlignment="1">
      <alignment horizontal="center" vertical="center" wrapText="1"/>
    </xf>
    <xf numFmtId="0" fontId="17" fillId="0" borderId="45" xfId="1" applyFont="1" applyFill="1" applyBorder="1" applyAlignment="1">
      <alignment horizontal="left" vertical="center" wrapText="1"/>
    </xf>
    <xf numFmtId="0" fontId="17" fillId="0" borderId="17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0" borderId="7" xfId="1" applyFont="1" applyFill="1" applyBorder="1" applyAlignment="1">
      <alignment vertical="center" wrapText="1"/>
    </xf>
    <xf numFmtId="0" fontId="17" fillId="0" borderId="42" xfId="1" applyFont="1" applyFill="1" applyBorder="1" applyAlignment="1">
      <alignment horizontal="left" vertical="center" wrapText="1"/>
    </xf>
    <xf numFmtId="0" fontId="17" fillId="0" borderId="2" xfId="1" applyFont="1" applyFill="1" applyBorder="1" applyAlignment="1">
      <alignment horizontal="left" vertical="center" wrapText="1"/>
    </xf>
    <xf numFmtId="0" fontId="17" fillId="0" borderId="43" xfId="1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/>
    </xf>
    <xf numFmtId="0" fontId="14" fillId="22" borderId="34" xfId="0" applyFont="1" applyFill="1" applyBorder="1" applyAlignment="1">
      <alignment horizontal="center" vertical="center"/>
    </xf>
    <xf numFmtId="0" fontId="14" fillId="22" borderId="35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textRotation="90"/>
    </xf>
    <xf numFmtId="0" fontId="0" fillId="0" borderId="16" xfId="0" applyBorder="1"/>
    <xf numFmtId="0" fontId="0" fillId="0" borderId="23" xfId="0" applyBorder="1"/>
    <xf numFmtId="0" fontId="17" fillId="0" borderId="12" xfId="1" applyFont="1" applyFill="1" applyBorder="1" applyAlignment="1">
      <alignment vertical="center" wrapText="1"/>
    </xf>
    <xf numFmtId="0" fontId="17" fillId="0" borderId="16" xfId="1" applyFont="1" applyFill="1" applyBorder="1" applyAlignment="1">
      <alignment vertical="center" wrapText="1"/>
    </xf>
    <xf numFmtId="0" fontId="17" fillId="0" borderId="23" xfId="1" applyFont="1" applyFill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7" fillId="0" borderId="12" xfId="1" applyFont="1" applyFill="1" applyBorder="1" applyAlignment="1">
      <alignment horizontal="left" vertical="center" wrapText="1"/>
    </xf>
    <xf numFmtId="0" fontId="17" fillId="0" borderId="16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6" fillId="0" borderId="16" xfId="0" applyFont="1" applyBorder="1" applyAlignment="1">
      <alignment horizontal="center" vertical="center" textRotation="90"/>
    </xf>
    <xf numFmtId="0" fontId="16" fillId="0" borderId="23" xfId="0" applyFont="1" applyBorder="1" applyAlignment="1">
      <alignment horizontal="center" vertical="center" textRotation="90"/>
    </xf>
    <xf numFmtId="0" fontId="17" fillId="0" borderId="12" xfId="3" applyFont="1" applyBorder="1" applyAlignment="1">
      <alignment horizontal="left" vertical="center" wrapText="1"/>
    </xf>
    <xf numFmtId="0" fontId="17" fillId="0" borderId="16" xfId="3" applyFont="1" applyBorder="1" applyAlignment="1">
      <alignment horizontal="left" vertical="center" wrapText="1"/>
    </xf>
    <xf numFmtId="0" fontId="17" fillId="0" borderId="8" xfId="3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18" borderId="4" xfId="0" applyFill="1" applyBorder="1" applyAlignment="1">
      <alignment horizontal="left" vertical="center"/>
    </xf>
    <xf numFmtId="0" fontId="17" fillId="0" borderId="17" xfId="3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17" fillId="0" borderId="23" xfId="3" applyFont="1" applyBorder="1" applyAlignment="1">
      <alignment horizontal="left" vertical="center" wrapText="1"/>
    </xf>
    <xf numFmtId="0" fontId="17" fillId="0" borderId="12" xfId="2" applyFont="1" applyBorder="1" applyAlignment="1">
      <alignment horizontal="left" vertical="center" wrapText="1"/>
    </xf>
    <xf numFmtId="0" fontId="17" fillId="0" borderId="16" xfId="2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7" fillId="0" borderId="13" xfId="3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25" xfId="2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0" fontId="17" fillId="0" borderId="12" xfId="2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6" fillId="0" borderId="12" xfId="0" applyFont="1" applyBorder="1" applyAlignment="1">
      <alignment horizontal="center" vertical="center" textRotation="90" wrapText="1"/>
    </xf>
    <xf numFmtId="0" fontId="16" fillId="0" borderId="16" xfId="0" applyFont="1" applyBorder="1" applyAlignment="1">
      <alignment horizontal="center" vertical="center" textRotation="90" wrapText="1"/>
    </xf>
    <xf numFmtId="0" fontId="16" fillId="0" borderId="23" xfId="0" applyFont="1" applyBorder="1" applyAlignment="1">
      <alignment horizontal="center" vertical="center" textRotation="90" wrapText="1"/>
    </xf>
    <xf numFmtId="0" fontId="17" fillId="0" borderId="36" xfId="2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14" fillId="22" borderId="33" xfId="0" applyFont="1" applyFill="1" applyBorder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0" fontId="14" fillId="22" borderId="50" xfId="0" applyFont="1" applyFill="1" applyBorder="1" applyAlignment="1">
      <alignment horizontal="center" vertical="center"/>
    </xf>
    <xf numFmtId="0" fontId="17" fillId="0" borderId="24" xfId="2" applyFont="1" applyBorder="1" applyAlignment="1">
      <alignment horizontal="left" vertical="center" wrapText="1"/>
    </xf>
    <xf numFmtId="0" fontId="17" fillId="0" borderId="25" xfId="2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 wrapText="1"/>
    </xf>
    <xf numFmtId="0" fontId="17" fillId="0" borderId="23" xfId="2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4" fillId="21" borderId="33" xfId="0" applyFont="1" applyFill="1" applyBorder="1" applyAlignment="1">
      <alignment horizontal="center" vertical="center"/>
    </xf>
    <xf numFmtId="0" fontId="14" fillId="21" borderId="34" xfId="0" applyFont="1" applyFill="1" applyBorder="1" applyAlignment="1">
      <alignment horizontal="center" vertical="center"/>
    </xf>
    <xf numFmtId="0" fontId="14" fillId="21" borderId="35" xfId="0" applyFont="1" applyFill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25" xfId="3" applyFont="1" applyBorder="1" applyAlignment="1">
      <alignment horizontal="left" vertical="center" wrapText="1"/>
    </xf>
    <xf numFmtId="0" fontId="17" fillId="0" borderId="26" xfId="3" applyFont="1" applyBorder="1" applyAlignment="1">
      <alignment horizontal="left" vertical="center" wrapText="1"/>
    </xf>
    <xf numFmtId="0" fontId="17" fillId="0" borderId="17" xfId="3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6" fillId="0" borderId="12" xfId="0" applyFont="1" applyBorder="1" applyAlignment="1">
      <alignment horizontal="center" textRotation="90"/>
    </xf>
    <xf numFmtId="0" fontId="16" fillId="0" borderId="16" xfId="0" applyFont="1" applyBorder="1" applyAlignment="1">
      <alignment horizontal="center" textRotation="90"/>
    </xf>
    <xf numFmtId="0" fontId="16" fillId="0" borderId="23" xfId="0" applyFont="1" applyBorder="1" applyAlignment="1">
      <alignment horizontal="center" textRotation="90"/>
    </xf>
    <xf numFmtId="0" fontId="19" fillId="0" borderId="12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0" fillId="18" borderId="4" xfId="0" applyFill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22" borderId="8" xfId="0" applyFont="1" applyFill="1" applyBorder="1" applyAlignment="1">
      <alignment horizontal="center" vertical="center"/>
    </xf>
    <xf numFmtId="0" fontId="14" fillId="22" borderId="9" xfId="0" applyFont="1" applyFill="1" applyBorder="1" applyAlignment="1">
      <alignment horizontal="center" vertical="center"/>
    </xf>
    <xf numFmtId="0" fontId="14" fillId="22" borderId="10" xfId="0" applyFont="1" applyFill="1" applyBorder="1" applyAlignment="1">
      <alignment horizontal="center" vertical="center"/>
    </xf>
    <xf numFmtId="0" fontId="14" fillId="22" borderId="11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0" fillId="0" borderId="12" xfId="3" applyFon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1" fillId="0" borderId="13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21" fillId="0" borderId="28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6">
    <cellStyle name="Нейтральный" xfId="1" builtinId="28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3" xfId="4" xr:uid="{00000000-0005-0000-0000-000004000000}"/>
    <cellStyle name="Процентный 2" xfId="5" xr:uid="{00000000-0005-0000-0000-000005000000}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5"/>
  <sheetViews>
    <sheetView topLeftCell="A22" workbookViewId="0">
      <selection activeCell="F10" sqref="F10"/>
    </sheetView>
  </sheetViews>
  <sheetFormatPr defaultColWidth="9.140625" defaultRowHeight="12" x14ac:dyDescent="0.2"/>
  <cols>
    <col min="1" max="1" width="3.42578125" style="1" bestFit="1" customWidth="1"/>
    <col min="2" max="2" width="6.28515625" style="2" customWidth="1"/>
    <col min="3" max="3" width="43.7109375" style="3" customWidth="1"/>
    <col min="4" max="4" width="17.42578125" style="3" customWidth="1"/>
    <col min="5" max="5" width="33.85546875" style="4" customWidth="1"/>
    <col min="6" max="6" width="42.85546875" style="4" customWidth="1"/>
    <col min="7" max="7" width="11.28515625" style="1" customWidth="1"/>
    <col min="8" max="8" width="17" style="1" customWidth="1"/>
    <col min="9" max="9" width="82.7109375" style="1" customWidth="1"/>
    <col min="10" max="16384" width="9.140625" style="1"/>
  </cols>
  <sheetData>
    <row r="2" spans="2:6" x14ac:dyDescent="0.2">
      <c r="B2" s="5" t="s">
        <v>0</v>
      </c>
      <c r="C2" s="6"/>
      <c r="D2" s="6"/>
      <c r="E2" s="7"/>
      <c r="F2" s="8"/>
    </row>
    <row r="4" spans="2:6" ht="24" x14ac:dyDescent="0.2">
      <c r="B4" s="9"/>
      <c r="C4" s="10" t="s">
        <v>1</v>
      </c>
      <c r="D4" s="10"/>
      <c r="E4" s="11" t="s">
        <v>2</v>
      </c>
      <c r="F4" s="11"/>
    </row>
    <row r="5" spans="2:6" ht="24" x14ac:dyDescent="0.2">
      <c r="B5" s="12"/>
      <c r="C5" s="13" t="s">
        <v>3</v>
      </c>
      <c r="D5" s="13"/>
      <c r="E5" s="14" t="s">
        <v>4</v>
      </c>
      <c r="F5" s="14"/>
    </row>
    <row r="6" spans="2:6" ht="24" x14ac:dyDescent="0.2">
      <c r="B6" s="15">
        <v>1</v>
      </c>
      <c r="C6" s="16" t="s">
        <v>5</v>
      </c>
      <c r="D6" s="16"/>
      <c r="E6" s="17" t="s">
        <v>2</v>
      </c>
      <c r="F6" s="17"/>
    </row>
    <row r="7" spans="2:6" ht="24" x14ac:dyDescent="0.2">
      <c r="B7" s="15" t="s">
        <v>6</v>
      </c>
      <c r="C7" s="16" t="s">
        <v>7</v>
      </c>
      <c r="D7" s="16"/>
      <c r="E7" s="17" t="s">
        <v>8</v>
      </c>
      <c r="F7" s="17"/>
    </row>
    <row r="8" spans="2:6" x14ac:dyDescent="0.2">
      <c r="B8" s="18" t="s">
        <v>9</v>
      </c>
      <c r="C8" s="19" t="s">
        <v>10</v>
      </c>
      <c r="D8" s="19"/>
      <c r="E8" s="20" t="s">
        <v>11</v>
      </c>
      <c r="F8" s="20"/>
    </row>
    <row r="9" spans="2:6" ht="24" x14ac:dyDescent="0.2">
      <c r="B9" s="18" t="s">
        <v>12</v>
      </c>
      <c r="C9" s="19" t="s">
        <v>13</v>
      </c>
      <c r="D9" s="19"/>
      <c r="E9" s="20" t="s">
        <v>11</v>
      </c>
      <c r="F9" s="20"/>
    </row>
    <row r="10" spans="2:6" ht="36" x14ac:dyDescent="0.2">
      <c r="B10" s="15">
        <v>3</v>
      </c>
      <c r="C10" s="16" t="s">
        <v>14</v>
      </c>
      <c r="D10" s="16" t="s">
        <v>15</v>
      </c>
      <c r="E10" s="17" t="s">
        <v>16</v>
      </c>
      <c r="F10" s="17" t="s">
        <v>17</v>
      </c>
    </row>
    <row r="11" spans="2:6" ht="24" x14ac:dyDescent="0.2">
      <c r="B11" s="21" t="s">
        <v>18</v>
      </c>
      <c r="C11" s="22" t="s">
        <v>19</v>
      </c>
      <c r="D11" s="22"/>
      <c r="E11" s="23" t="s">
        <v>20</v>
      </c>
      <c r="F11" s="23"/>
    </row>
    <row r="12" spans="2:6" ht="36" x14ac:dyDescent="0.2">
      <c r="B12" s="24">
        <v>4</v>
      </c>
      <c r="C12" s="25" t="s">
        <v>21</v>
      </c>
      <c r="D12" s="24"/>
      <c r="E12" s="25" t="s">
        <v>22</v>
      </c>
      <c r="F12" s="26" t="s">
        <v>23</v>
      </c>
    </row>
    <row r="13" spans="2:6" ht="24" x14ac:dyDescent="0.2">
      <c r="B13" s="27" t="s">
        <v>24</v>
      </c>
      <c r="C13" s="28" t="s">
        <v>19</v>
      </c>
      <c r="D13" s="27"/>
      <c r="E13" s="28" t="s">
        <v>25</v>
      </c>
      <c r="F13" s="28"/>
    </row>
    <row r="14" spans="2:6" x14ac:dyDescent="0.2">
      <c r="B14" s="27" t="s">
        <v>26</v>
      </c>
      <c r="C14" s="28" t="s">
        <v>27</v>
      </c>
      <c r="D14" s="27"/>
      <c r="E14" s="28" t="s">
        <v>28</v>
      </c>
      <c r="F14" s="28"/>
    </row>
    <row r="15" spans="2:6" x14ac:dyDescent="0.2">
      <c r="B15" s="27" t="s">
        <v>29</v>
      </c>
      <c r="C15" s="28" t="s">
        <v>30</v>
      </c>
      <c r="D15" s="27"/>
      <c r="E15" s="28" t="s">
        <v>31</v>
      </c>
      <c r="F15" s="28"/>
    </row>
    <row r="16" spans="2:6" x14ac:dyDescent="0.2">
      <c r="B16" s="27" t="s">
        <v>32</v>
      </c>
      <c r="C16" s="28" t="s">
        <v>33</v>
      </c>
      <c r="D16" s="27"/>
      <c r="E16" s="28" t="s">
        <v>34</v>
      </c>
      <c r="F16" s="28"/>
    </row>
    <row r="17" spans="1:9" x14ac:dyDescent="0.2">
      <c r="B17" s="27" t="s">
        <v>35</v>
      </c>
      <c r="C17" s="28" t="s">
        <v>36</v>
      </c>
      <c r="D17" s="27"/>
      <c r="E17" s="28" t="s">
        <v>31</v>
      </c>
      <c r="F17" s="28"/>
    </row>
    <row r="18" spans="1:9" x14ac:dyDescent="0.2">
      <c r="B18" s="18" t="s">
        <v>37</v>
      </c>
      <c r="C18" s="20" t="s">
        <v>38</v>
      </c>
      <c r="D18" s="18"/>
      <c r="E18" s="20" t="s">
        <v>11</v>
      </c>
      <c r="F18" s="20"/>
    </row>
    <row r="19" spans="1:9" ht="36" x14ac:dyDescent="0.2">
      <c r="B19" s="18" t="s">
        <v>39</v>
      </c>
      <c r="C19" s="20" t="s">
        <v>40</v>
      </c>
      <c r="D19" s="18"/>
      <c r="E19" s="20" t="s">
        <v>11</v>
      </c>
      <c r="F19" s="20"/>
    </row>
    <row r="20" spans="1:9" ht="24" x14ac:dyDescent="0.2">
      <c r="B20" s="18" t="s">
        <v>41</v>
      </c>
      <c r="C20" s="20" t="s">
        <v>42</v>
      </c>
      <c r="D20" s="18"/>
      <c r="E20" s="20" t="s">
        <v>11</v>
      </c>
      <c r="F20" s="20"/>
    </row>
    <row r="21" spans="1:9" x14ac:dyDescent="0.2">
      <c r="B21" s="29">
        <v>5</v>
      </c>
      <c r="C21" s="30" t="s">
        <v>43</v>
      </c>
      <c r="D21" s="30"/>
      <c r="E21" s="31" t="s">
        <v>11</v>
      </c>
      <c r="F21" s="31"/>
    </row>
    <row r="22" spans="1:9" x14ac:dyDescent="0.2">
      <c r="B22" s="18" t="s">
        <v>44</v>
      </c>
      <c r="C22" s="19" t="s">
        <v>45</v>
      </c>
      <c r="D22" s="19"/>
      <c r="E22" s="20" t="s">
        <v>11</v>
      </c>
      <c r="F22" s="20"/>
    </row>
    <row r="23" spans="1:9" x14ac:dyDescent="0.2">
      <c r="B23" s="18" t="s">
        <v>46</v>
      </c>
      <c r="C23" s="19" t="s">
        <v>47</v>
      </c>
      <c r="D23" s="19"/>
      <c r="E23" s="20" t="s">
        <v>11</v>
      </c>
      <c r="F23" s="20"/>
    </row>
    <row r="24" spans="1:9" x14ac:dyDescent="0.2">
      <c r="B24" s="32">
        <v>6</v>
      </c>
      <c r="C24" s="33" t="s">
        <v>48</v>
      </c>
      <c r="D24" s="33"/>
      <c r="E24" s="34" t="s">
        <v>49</v>
      </c>
      <c r="F24" s="34"/>
    </row>
    <row r="25" spans="1:9" ht="24" x14ac:dyDescent="0.2">
      <c r="B25" s="21" t="s">
        <v>50</v>
      </c>
      <c r="C25" s="22" t="s">
        <v>19</v>
      </c>
      <c r="D25" s="22"/>
      <c r="E25" s="23" t="s">
        <v>51</v>
      </c>
      <c r="F25" s="23"/>
    </row>
    <row r="29" spans="1:9" x14ac:dyDescent="0.2">
      <c r="A29" s="35"/>
      <c r="B29" s="35"/>
      <c r="C29" s="35"/>
      <c r="D29" s="35"/>
      <c r="E29" s="35"/>
      <c r="F29" s="35"/>
      <c r="G29" s="35"/>
      <c r="H29" s="35"/>
      <c r="I29" s="35"/>
    </row>
    <row r="30" spans="1:9" x14ac:dyDescent="0.2">
      <c r="A30" s="36" t="s">
        <v>52</v>
      </c>
      <c r="B30" s="37">
        <v>37</v>
      </c>
      <c r="C30" s="38" t="s">
        <v>53</v>
      </c>
      <c r="D30" s="38" t="s">
        <v>54</v>
      </c>
      <c r="E30" s="38"/>
      <c r="F30" s="38"/>
      <c r="G30" s="38"/>
      <c r="H30" s="39"/>
      <c r="I30" s="39"/>
    </row>
    <row r="31" spans="1:9" x14ac:dyDescent="0.2">
      <c r="A31" s="36" t="s">
        <v>52</v>
      </c>
      <c r="B31" s="40" t="s">
        <v>55</v>
      </c>
      <c r="C31" s="41" t="s">
        <v>56</v>
      </c>
      <c r="D31" s="41" t="s">
        <v>57</v>
      </c>
      <c r="E31" s="41"/>
      <c r="F31" s="41"/>
      <c r="G31" s="41"/>
      <c r="H31" s="42" t="s">
        <v>11</v>
      </c>
      <c r="I31" s="42"/>
    </row>
    <row r="32" spans="1:9" ht="22.5" x14ac:dyDescent="0.2">
      <c r="A32" s="36" t="s">
        <v>52</v>
      </c>
      <c r="B32" s="43" t="s">
        <v>58</v>
      </c>
      <c r="C32" s="44" t="s">
        <v>59</v>
      </c>
      <c r="D32" s="44" t="s">
        <v>60</v>
      </c>
      <c r="E32" s="44"/>
      <c r="F32" s="44" t="s">
        <v>61</v>
      </c>
      <c r="G32" s="44"/>
      <c r="H32" s="45"/>
      <c r="I32" s="45"/>
    </row>
    <row r="33" spans="1:9" ht="22.5" x14ac:dyDescent="0.2">
      <c r="A33" s="36" t="s">
        <v>52</v>
      </c>
      <c r="B33" s="43" t="s">
        <v>62</v>
      </c>
      <c r="C33" s="44" t="s">
        <v>63</v>
      </c>
      <c r="D33" s="44" t="s">
        <v>60</v>
      </c>
      <c r="E33" s="44"/>
      <c r="F33" s="44" t="s">
        <v>61</v>
      </c>
      <c r="G33" s="44"/>
      <c r="H33" s="45"/>
      <c r="I33" s="45"/>
    </row>
    <row r="36" spans="1:9" x14ac:dyDescent="0.2">
      <c r="B36" s="37">
        <v>41</v>
      </c>
      <c r="C36" s="38" t="s">
        <v>64</v>
      </c>
      <c r="D36" s="38"/>
      <c r="E36" s="38"/>
      <c r="F36" s="38"/>
      <c r="G36" s="38"/>
      <c r="H36" s="39"/>
      <c r="I36" s="39"/>
    </row>
    <row r="37" spans="1:9" ht="22.5" x14ac:dyDescent="0.2">
      <c r="B37" s="46" t="s">
        <v>65</v>
      </c>
      <c r="C37" s="47" t="s">
        <v>66</v>
      </c>
      <c r="D37" s="47" t="s">
        <v>67</v>
      </c>
      <c r="E37" s="47"/>
      <c r="F37" s="47"/>
      <c r="G37" s="47"/>
      <c r="H37" s="48"/>
      <c r="I37" s="48" t="s">
        <v>68</v>
      </c>
    </row>
    <row r="38" spans="1:9" x14ac:dyDescent="0.2">
      <c r="B38" s="46" t="s">
        <v>69</v>
      </c>
      <c r="C38" s="47" t="s">
        <v>70</v>
      </c>
      <c r="D38" s="47" t="s">
        <v>71</v>
      </c>
      <c r="E38" s="47"/>
      <c r="F38" s="47"/>
      <c r="G38" s="47"/>
      <c r="H38" s="48"/>
      <c r="I38" s="48"/>
    </row>
    <row r="39" spans="1:9" x14ac:dyDescent="0.2">
      <c r="B39" s="46" t="s">
        <v>72</v>
      </c>
      <c r="C39" s="47" t="s">
        <v>73</v>
      </c>
      <c r="D39" s="47"/>
      <c r="E39" s="47"/>
      <c r="F39" s="47"/>
      <c r="G39" s="47"/>
      <c r="H39" s="48"/>
      <c r="I39" s="48" t="s">
        <v>74</v>
      </c>
    </row>
    <row r="40" spans="1:9" x14ac:dyDescent="0.2">
      <c r="B40" s="46" t="s">
        <v>75</v>
      </c>
      <c r="C40" s="47" t="s">
        <v>76</v>
      </c>
      <c r="D40" s="47"/>
      <c r="E40" s="47"/>
      <c r="F40" s="47"/>
      <c r="G40" s="47"/>
      <c r="H40" s="48"/>
      <c r="I40" s="48" t="s">
        <v>74</v>
      </c>
    </row>
    <row r="43" spans="1:9" x14ac:dyDescent="0.2">
      <c r="B43" s="37">
        <v>44</v>
      </c>
      <c r="C43" s="38" t="s">
        <v>77</v>
      </c>
      <c r="D43" s="38"/>
      <c r="E43" s="38"/>
      <c r="F43" s="38"/>
      <c r="G43" s="38"/>
      <c r="H43" s="39"/>
      <c r="I43" s="39"/>
    </row>
    <row r="44" spans="1:9" x14ac:dyDescent="0.2">
      <c r="B44" s="49" t="s">
        <v>78</v>
      </c>
      <c r="C44" s="50" t="s">
        <v>79</v>
      </c>
      <c r="D44" s="50"/>
      <c r="E44" s="50"/>
      <c r="F44" s="50"/>
      <c r="G44" s="50"/>
      <c r="H44" s="51" t="s">
        <v>11</v>
      </c>
      <c r="I44" s="51" t="s">
        <v>80</v>
      </c>
    </row>
    <row r="45" spans="1:9" x14ac:dyDescent="0.2">
      <c r="B45" s="49" t="s">
        <v>81</v>
      </c>
      <c r="C45" s="50" t="s">
        <v>82</v>
      </c>
      <c r="D45" s="50"/>
      <c r="E45" s="50"/>
      <c r="F45" s="50"/>
      <c r="G45" s="50"/>
      <c r="H45" s="51" t="s">
        <v>11</v>
      </c>
      <c r="I45" s="51" t="s">
        <v>80</v>
      </c>
    </row>
    <row r="46" spans="1:9" x14ac:dyDescent="0.2">
      <c r="B46" s="49" t="s">
        <v>83</v>
      </c>
      <c r="C46" s="50" t="s">
        <v>84</v>
      </c>
      <c r="D46" s="50"/>
      <c r="E46" s="50"/>
      <c r="F46" s="50"/>
      <c r="G46" s="50"/>
      <c r="H46" s="51" t="s">
        <v>11</v>
      </c>
      <c r="I46" s="51"/>
    </row>
    <row r="47" spans="1:9" x14ac:dyDescent="0.2">
      <c r="B47" s="46" t="s">
        <v>85</v>
      </c>
      <c r="C47" s="47" t="s">
        <v>86</v>
      </c>
      <c r="D47" s="47"/>
      <c r="E47" s="47"/>
      <c r="F47" s="47"/>
      <c r="G47" s="47"/>
      <c r="H47" s="48"/>
      <c r="I47" s="48" t="s">
        <v>87</v>
      </c>
    </row>
    <row r="48" spans="1:9" x14ac:dyDescent="0.2">
      <c r="B48" s="49" t="s">
        <v>88</v>
      </c>
      <c r="C48" s="50" t="s">
        <v>76</v>
      </c>
      <c r="D48" s="50"/>
      <c r="E48" s="50"/>
      <c r="F48" s="50"/>
      <c r="G48" s="50"/>
      <c r="H48" s="51" t="s">
        <v>11</v>
      </c>
      <c r="I48" s="51" t="s">
        <v>80</v>
      </c>
    </row>
    <row r="51" spans="2:9" x14ac:dyDescent="0.2">
      <c r="B51" s="37">
        <v>47</v>
      </c>
      <c r="C51" s="38" t="s">
        <v>89</v>
      </c>
      <c r="D51" s="38"/>
      <c r="E51" s="38"/>
      <c r="F51" s="38"/>
      <c r="G51" s="38"/>
      <c r="H51" s="39"/>
      <c r="I51" s="39"/>
    </row>
    <row r="52" spans="2:9" x14ac:dyDescent="0.2">
      <c r="B52" s="40" t="s">
        <v>90</v>
      </c>
      <c r="C52" s="41" t="s">
        <v>91</v>
      </c>
      <c r="D52" s="41"/>
      <c r="E52" s="41"/>
      <c r="F52" s="41"/>
      <c r="G52" s="41"/>
      <c r="H52" s="42" t="s">
        <v>11</v>
      </c>
      <c r="I52" s="42"/>
    </row>
    <row r="53" spans="2:9" ht="22.5" x14ac:dyDescent="0.2">
      <c r="B53" s="46" t="s">
        <v>92</v>
      </c>
      <c r="C53" s="47" t="s">
        <v>93</v>
      </c>
      <c r="D53" s="47" t="s">
        <v>67</v>
      </c>
      <c r="E53" s="47"/>
      <c r="F53" s="47"/>
      <c r="G53" s="47"/>
      <c r="H53" s="48"/>
      <c r="I53" s="48"/>
    </row>
    <row r="54" spans="2:9" x14ac:dyDescent="0.2">
      <c r="B54" s="40" t="s">
        <v>94</v>
      </c>
      <c r="C54" s="41" t="s">
        <v>95</v>
      </c>
      <c r="D54" s="41"/>
      <c r="E54" s="41"/>
      <c r="F54" s="41"/>
      <c r="G54" s="41"/>
      <c r="H54" s="42" t="s">
        <v>11</v>
      </c>
      <c r="I54" s="42"/>
    </row>
    <row r="55" spans="2:9" x14ac:dyDescent="0.2">
      <c r="B55" s="40" t="s">
        <v>96</v>
      </c>
      <c r="C55" s="41" t="s">
        <v>97</v>
      </c>
      <c r="D55" s="41"/>
      <c r="E55" s="41"/>
      <c r="F55" s="41"/>
      <c r="G55" s="41"/>
      <c r="H55" s="42" t="s">
        <v>11</v>
      </c>
      <c r="I55" s="4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1:T664"/>
  <sheetViews>
    <sheetView tabSelected="1" workbookViewId="0">
      <pane xSplit="5" ySplit="1" topLeftCell="F2" activePane="bottomRight" state="frozen"/>
      <selection activeCell="D4" sqref="D4"/>
      <selection pane="topRight"/>
      <selection pane="bottomLeft"/>
      <selection pane="bottomRight" activeCell="D9" sqref="D9"/>
    </sheetView>
  </sheetViews>
  <sheetFormatPr defaultColWidth="9.140625" defaultRowHeight="11.25" x14ac:dyDescent="0.2"/>
  <cols>
    <col min="1" max="1" width="3.140625" style="52" customWidth="1"/>
    <col min="2" max="2" width="5.28515625" style="52" customWidth="1"/>
    <col min="3" max="3" width="4.28515625" style="52" customWidth="1"/>
    <col min="4" max="4" width="14.28515625" style="53" customWidth="1"/>
    <col min="5" max="5" width="25.28515625" style="54" customWidth="1"/>
    <col min="6" max="6" width="29.140625" style="54" customWidth="1"/>
    <col min="7" max="7" width="13.7109375" style="54" customWidth="1"/>
    <col min="8" max="8" width="26" style="54" customWidth="1"/>
    <col min="9" max="11" width="12.42578125" style="54" customWidth="1"/>
    <col min="12" max="12" width="48.28515625" style="55" customWidth="1"/>
    <col min="13" max="13" width="79.85546875" style="55" customWidth="1"/>
    <col min="14" max="14" width="9.140625" style="52"/>
    <col min="15" max="15" width="20" style="52" customWidth="1"/>
    <col min="16" max="16384" width="9.140625" style="52"/>
  </cols>
  <sheetData>
    <row r="1" spans="3:20" ht="22.5" x14ac:dyDescent="0.2">
      <c r="C1" s="35"/>
      <c r="D1" s="35" t="s">
        <v>98</v>
      </c>
      <c r="E1" s="35" t="s">
        <v>99</v>
      </c>
      <c r="F1" s="35" t="s">
        <v>100</v>
      </c>
      <c r="G1" s="35" t="s">
        <v>101</v>
      </c>
      <c r="H1" s="35" t="s">
        <v>102</v>
      </c>
      <c r="I1" s="35" t="s">
        <v>103</v>
      </c>
      <c r="J1" s="35" t="s">
        <v>104</v>
      </c>
      <c r="K1" s="35" t="s">
        <v>105</v>
      </c>
      <c r="L1" s="35" t="s">
        <v>106</v>
      </c>
      <c r="M1" s="35" t="s">
        <v>107</v>
      </c>
    </row>
    <row r="2" spans="3:20" ht="22.5" x14ac:dyDescent="0.2">
      <c r="C2" s="56" t="s">
        <v>52</v>
      </c>
      <c r="D2" s="37">
        <v>7</v>
      </c>
      <c r="E2" s="38" t="s">
        <v>108</v>
      </c>
      <c r="F2" s="38"/>
      <c r="G2" s="38"/>
      <c r="H2" s="38"/>
      <c r="I2" s="38"/>
      <c r="J2" s="38"/>
      <c r="K2" s="38"/>
      <c r="L2" s="39"/>
      <c r="M2" s="39" t="s">
        <v>109</v>
      </c>
      <c r="N2" s="52" t="b">
        <f>IF(AND($C2="Упр", $C3="1s"), D2)</f>
        <v>0</v>
      </c>
      <c r="O2" s="52" t="b">
        <f>IF(AND($C2="Упр", $C3="1s"), D3)</f>
        <v>0</v>
      </c>
      <c r="P2" s="52" t="b">
        <f>IF(AND($C2="Упр", $C3="1s"), F3)</f>
        <v>0</v>
      </c>
      <c r="Q2" s="52" t="b">
        <f>IF(AND($C2="Упр", $C3="1s"), G3)</f>
        <v>0</v>
      </c>
      <c r="R2" s="52" t="b">
        <f>IF(AND($C2="Упр", $C3="1s"), H3)</f>
        <v>0</v>
      </c>
      <c r="S2" s="52" t="b">
        <f>IF(AND($C2="Упр", $C3="1s"), I3)</f>
        <v>0</v>
      </c>
      <c r="T2" s="52" t="b">
        <f>IF(AND($C2="Упр", $C3="1s"), E2)</f>
        <v>0</v>
      </c>
    </row>
    <row r="3" spans="3:20" x14ac:dyDescent="0.2">
      <c r="C3" s="56" t="s">
        <v>52</v>
      </c>
      <c r="D3" s="46" t="s">
        <v>110</v>
      </c>
      <c r="E3" s="47" t="s">
        <v>19</v>
      </c>
      <c r="F3" s="47"/>
      <c r="G3" s="47"/>
      <c r="H3" s="47"/>
      <c r="I3" s="47"/>
      <c r="J3" s="47"/>
      <c r="K3" s="47"/>
      <c r="L3" s="48"/>
      <c r="M3" s="48" t="s">
        <v>111</v>
      </c>
      <c r="N3" s="52" t="b">
        <f t="shared" ref="N3:N66" si="0">IF(AND($C3="Упр", $C4="1s"), D3)</f>
        <v>0</v>
      </c>
      <c r="O3" s="52" t="b">
        <f t="shared" ref="O3:O66" si="1">IF(AND($C3="Упр", $C4="1s"), D4)</f>
        <v>0</v>
      </c>
      <c r="P3" s="52" t="b">
        <f t="shared" ref="P3:P66" si="2">IF(AND($C3="Упр", $C4="1s"), F4)</f>
        <v>0</v>
      </c>
      <c r="Q3" s="52" t="b">
        <f t="shared" ref="Q3:Q66" si="3">IF(AND($C3="Упр", $C4="1s"), G4)</f>
        <v>0</v>
      </c>
      <c r="R3" s="52" t="b">
        <f t="shared" ref="R3:R66" si="4">IF(AND($C3="Упр", $C4="1s"), H4)</f>
        <v>0</v>
      </c>
      <c r="S3" s="52" t="b">
        <f t="shared" ref="S3:S66" si="5">IF(AND($C3="Упр", $C4="1s"), I4)</f>
        <v>0</v>
      </c>
      <c r="T3" s="52" t="b">
        <f t="shared" ref="T3:T66" si="6">IF(AND($C3="Упр", $C4="1s"), E3)</f>
        <v>0</v>
      </c>
    </row>
    <row r="4" spans="3:20" x14ac:dyDescent="0.2">
      <c r="C4" s="56" t="s">
        <v>52</v>
      </c>
      <c r="D4" s="46"/>
      <c r="E4" s="47" t="s">
        <v>112</v>
      </c>
      <c r="F4" s="47"/>
      <c r="G4" s="47"/>
      <c r="H4" s="47"/>
      <c r="I4" s="47"/>
      <c r="J4" s="47"/>
      <c r="K4" s="47"/>
      <c r="L4" s="48" t="s">
        <v>113</v>
      </c>
      <c r="M4" s="48" t="s">
        <v>113</v>
      </c>
      <c r="N4" s="52" t="b">
        <f t="shared" si="0"/>
        <v>0</v>
      </c>
      <c r="O4" s="52" t="b">
        <f t="shared" si="1"/>
        <v>0</v>
      </c>
      <c r="P4" s="52" t="b">
        <f t="shared" si="2"/>
        <v>0</v>
      </c>
      <c r="Q4" s="52" t="b">
        <f t="shared" si="3"/>
        <v>0</v>
      </c>
      <c r="R4" s="52" t="b">
        <f t="shared" si="4"/>
        <v>0</v>
      </c>
      <c r="S4" s="52" t="b">
        <f t="shared" si="5"/>
        <v>0</v>
      </c>
      <c r="T4" s="52" t="b">
        <f t="shared" si="6"/>
        <v>0</v>
      </c>
    </row>
    <row r="5" spans="3:20" ht="28.5" hidden="1" customHeight="1" x14ac:dyDescent="0.2">
      <c r="C5" s="35"/>
      <c r="D5" s="35" t="s">
        <v>98</v>
      </c>
      <c r="E5" s="35" t="s">
        <v>99</v>
      </c>
      <c r="F5" s="35" t="s">
        <v>100</v>
      </c>
      <c r="G5" s="35" t="s">
        <v>101</v>
      </c>
      <c r="H5" s="35" t="s">
        <v>102</v>
      </c>
      <c r="I5" s="35" t="s">
        <v>103</v>
      </c>
      <c r="J5" s="35" t="s">
        <v>104</v>
      </c>
      <c r="K5" s="35" t="s">
        <v>105</v>
      </c>
      <c r="L5" s="35" t="s">
        <v>106</v>
      </c>
      <c r="M5" s="35" t="s">
        <v>107</v>
      </c>
      <c r="N5" s="52" t="b">
        <f t="shared" si="0"/>
        <v>0</v>
      </c>
      <c r="O5" s="52" t="b">
        <f t="shared" si="1"/>
        <v>0</v>
      </c>
      <c r="P5" s="52" t="b">
        <f t="shared" si="2"/>
        <v>0</v>
      </c>
      <c r="Q5" s="52" t="b">
        <f t="shared" si="3"/>
        <v>0</v>
      </c>
      <c r="R5" s="52" t="b">
        <f t="shared" si="4"/>
        <v>0</v>
      </c>
      <c r="S5" s="52" t="b">
        <f t="shared" si="5"/>
        <v>0</v>
      </c>
      <c r="T5" s="52" t="b">
        <f t="shared" si="6"/>
        <v>0</v>
      </c>
    </row>
    <row r="6" spans="3:20" ht="33.75" x14ac:dyDescent="0.2">
      <c r="C6" s="56" t="s">
        <v>52</v>
      </c>
      <c r="D6" s="37">
        <v>8</v>
      </c>
      <c r="E6" s="38" t="s">
        <v>114</v>
      </c>
      <c r="F6" s="38" t="s">
        <v>115</v>
      </c>
      <c r="G6" s="38"/>
      <c r="H6" s="38"/>
      <c r="I6" s="38"/>
      <c r="J6" s="38"/>
      <c r="K6" s="38"/>
      <c r="L6" s="39"/>
      <c r="M6" s="39" t="s">
        <v>116</v>
      </c>
      <c r="N6" s="52" t="b">
        <f t="shared" si="0"/>
        <v>0</v>
      </c>
      <c r="O6" s="52" t="b">
        <f t="shared" si="1"/>
        <v>0</v>
      </c>
      <c r="P6" s="52" t="b">
        <f t="shared" si="2"/>
        <v>0</v>
      </c>
      <c r="Q6" s="52" t="b">
        <f t="shared" si="3"/>
        <v>0</v>
      </c>
      <c r="R6" s="52" t="b">
        <f t="shared" si="4"/>
        <v>0</v>
      </c>
      <c r="S6" s="52" t="b">
        <f t="shared" si="5"/>
        <v>0</v>
      </c>
      <c r="T6" s="52" t="b">
        <f t="shared" si="6"/>
        <v>0</v>
      </c>
    </row>
    <row r="7" spans="3:20" x14ac:dyDescent="0.2">
      <c r="C7" s="56" t="s">
        <v>52</v>
      </c>
      <c r="D7" s="46"/>
      <c r="E7" s="47" t="s">
        <v>19</v>
      </c>
      <c r="F7" s="47"/>
      <c r="G7" s="47"/>
      <c r="H7" s="47"/>
      <c r="I7" s="47"/>
      <c r="J7" s="47"/>
      <c r="K7" s="47"/>
      <c r="L7" s="48"/>
      <c r="M7" s="48" t="s">
        <v>117</v>
      </c>
      <c r="N7" s="52" t="b">
        <f t="shared" si="0"/>
        <v>0</v>
      </c>
      <c r="O7" s="52" t="b">
        <f t="shared" si="1"/>
        <v>0</v>
      </c>
      <c r="P7" s="52" t="b">
        <f t="shared" si="2"/>
        <v>0</v>
      </c>
      <c r="Q7" s="52" t="b">
        <f t="shared" si="3"/>
        <v>0</v>
      </c>
      <c r="R7" s="52" t="b">
        <f t="shared" si="4"/>
        <v>0</v>
      </c>
      <c r="S7" s="52" t="b">
        <f t="shared" si="5"/>
        <v>0</v>
      </c>
      <c r="T7" s="52" t="b">
        <f t="shared" si="6"/>
        <v>0</v>
      </c>
    </row>
    <row r="8" spans="3:20" x14ac:dyDescent="0.2">
      <c r="C8" s="56" t="s">
        <v>52</v>
      </c>
      <c r="D8" s="46"/>
      <c r="E8" s="47" t="s">
        <v>112</v>
      </c>
      <c r="F8" s="47"/>
      <c r="G8" s="47"/>
      <c r="H8" s="47"/>
      <c r="I8" s="47"/>
      <c r="J8" s="47"/>
      <c r="K8" s="47"/>
      <c r="L8" s="48"/>
      <c r="M8" s="48" t="s">
        <v>118</v>
      </c>
      <c r="N8" s="52" t="b">
        <f t="shared" si="0"/>
        <v>0</v>
      </c>
      <c r="O8" s="52" t="b">
        <f t="shared" si="1"/>
        <v>0</v>
      </c>
      <c r="P8" s="52" t="b">
        <f t="shared" si="2"/>
        <v>0</v>
      </c>
      <c r="Q8" s="52" t="b">
        <f t="shared" si="3"/>
        <v>0</v>
      </c>
      <c r="R8" s="52" t="b">
        <f t="shared" si="4"/>
        <v>0</v>
      </c>
      <c r="S8" s="52" t="b">
        <f t="shared" si="5"/>
        <v>0</v>
      </c>
      <c r="T8" s="52" t="b">
        <f t="shared" si="6"/>
        <v>0</v>
      </c>
    </row>
    <row r="9" spans="3:20" ht="22.5" x14ac:dyDescent="0.2">
      <c r="C9" s="56" t="s">
        <v>52</v>
      </c>
      <c r="D9" s="57" t="s">
        <v>119</v>
      </c>
      <c r="E9" s="58" t="s">
        <v>120</v>
      </c>
      <c r="F9" s="58"/>
      <c r="G9" s="58"/>
      <c r="H9" s="58"/>
      <c r="I9" s="58"/>
      <c r="J9" s="58"/>
      <c r="K9" s="58"/>
      <c r="L9" s="59" t="s">
        <v>121</v>
      </c>
      <c r="M9" s="60" t="s">
        <v>122</v>
      </c>
      <c r="N9" s="52" t="b">
        <f t="shared" si="0"/>
        <v>0</v>
      </c>
      <c r="O9" s="52" t="b">
        <f t="shared" si="1"/>
        <v>0</v>
      </c>
      <c r="P9" s="52" t="b">
        <f t="shared" si="2"/>
        <v>0</v>
      </c>
      <c r="Q9" s="52" t="b">
        <f t="shared" si="3"/>
        <v>0</v>
      </c>
      <c r="R9" s="52" t="b">
        <f t="shared" si="4"/>
        <v>0</v>
      </c>
      <c r="S9" s="52" t="b">
        <f t="shared" si="5"/>
        <v>0</v>
      </c>
      <c r="T9" s="52" t="b">
        <f t="shared" si="6"/>
        <v>0</v>
      </c>
    </row>
    <row r="10" spans="3:20" x14ac:dyDescent="0.2">
      <c r="C10" s="56" t="s">
        <v>52</v>
      </c>
      <c r="D10" s="46" t="s">
        <v>123</v>
      </c>
      <c r="E10" s="47" t="s">
        <v>124</v>
      </c>
      <c r="F10" s="47"/>
      <c r="G10" s="47"/>
      <c r="H10" s="47"/>
      <c r="I10" s="47"/>
      <c r="J10" s="47"/>
      <c r="K10" s="47"/>
      <c r="L10" s="48"/>
      <c r="M10" s="48"/>
      <c r="N10" s="52" t="str">
        <f t="shared" si="0"/>
        <v>8.1.1.</v>
      </c>
      <c r="O10" s="52" t="str">
        <f t="shared" si="1"/>
        <v>44.2 / 44.3</v>
      </c>
      <c r="P10" s="52" t="str">
        <f t="shared" si="2"/>
        <v>Расходы на реализацию в торговле / Управленческие расходы в торговле</v>
      </c>
      <c r="Q10" s="52">
        <f t="shared" si="3"/>
        <v>2</v>
      </c>
      <c r="R10" s="52" t="str">
        <f t="shared" si="4"/>
        <v>Оплата труда</v>
      </c>
      <c r="S10" s="52" t="str">
        <f t="shared" si="5"/>
        <v>Элементы затрат</v>
      </c>
      <c r="T10" s="52" t="str">
        <f t="shared" si="6"/>
        <v>Оплата труда</v>
      </c>
    </row>
    <row r="11" spans="3:20" ht="22.5" x14ac:dyDescent="0.2">
      <c r="C11" s="56" t="s">
        <v>1087</v>
      </c>
      <c r="D11" s="61" t="s">
        <v>125</v>
      </c>
      <c r="E11" s="61"/>
      <c r="F11" s="62" t="s">
        <v>126</v>
      </c>
      <c r="G11" s="61">
        <v>2</v>
      </c>
      <c r="H11" s="61" t="s">
        <v>124</v>
      </c>
      <c r="I11" s="62" t="s">
        <v>127</v>
      </c>
      <c r="J11" s="62" t="s">
        <v>128</v>
      </c>
      <c r="K11" s="62" t="s">
        <v>129</v>
      </c>
      <c r="L11" s="63"/>
      <c r="M11" s="63"/>
      <c r="N11" s="52" t="b">
        <f t="shared" si="0"/>
        <v>0</v>
      </c>
      <c r="O11" s="52" t="b">
        <f t="shared" si="1"/>
        <v>0</v>
      </c>
      <c r="P11" s="52" t="b">
        <f t="shared" si="2"/>
        <v>0</v>
      </c>
      <c r="Q11" s="52" t="b">
        <f t="shared" si="3"/>
        <v>0</v>
      </c>
      <c r="R11" s="52" t="b">
        <f t="shared" si="4"/>
        <v>0</v>
      </c>
      <c r="S11" s="52" t="b">
        <f t="shared" si="5"/>
        <v>0</v>
      </c>
      <c r="T11" s="52" t="b">
        <f t="shared" si="6"/>
        <v>0</v>
      </c>
    </row>
    <row r="12" spans="3:20" x14ac:dyDescent="0.2">
      <c r="C12" s="56" t="s">
        <v>52</v>
      </c>
      <c r="D12" s="46" t="s">
        <v>130</v>
      </c>
      <c r="E12" s="47" t="s">
        <v>131</v>
      </c>
      <c r="F12" s="47"/>
      <c r="G12" s="47"/>
      <c r="H12" s="47"/>
      <c r="I12" s="47"/>
      <c r="J12" s="47"/>
      <c r="K12" s="47"/>
      <c r="L12" s="48"/>
      <c r="M12" s="48"/>
      <c r="N12" s="52" t="str">
        <f t="shared" si="0"/>
        <v>8.1.2.</v>
      </c>
      <c r="O12" s="52" t="str">
        <f t="shared" si="1"/>
        <v>90.10.1 / 90.10.11</v>
      </c>
      <c r="P12" s="52" t="str">
        <f t="shared" si="2"/>
        <v>Прочие расходы по текущей деятельности / -||- (по местам хранения)</v>
      </c>
      <c r="Q12" s="52">
        <f t="shared" si="3"/>
        <v>49</v>
      </c>
      <c r="R12" s="52" t="str">
        <f t="shared" si="4"/>
        <v>Материальная помощь</v>
      </c>
      <c r="S12" s="52" t="str">
        <f t="shared" si="5"/>
        <v>Виды прочих расходов</v>
      </c>
      <c r="T12" s="52" t="str">
        <f t="shared" si="6"/>
        <v>Материальная помощь</v>
      </c>
    </row>
    <row r="13" spans="3:20" ht="33.75" x14ac:dyDescent="0.2">
      <c r="C13" s="56" t="s">
        <v>1087</v>
      </c>
      <c r="D13" s="62" t="s">
        <v>132</v>
      </c>
      <c r="E13" s="62"/>
      <c r="F13" s="62" t="s">
        <v>133</v>
      </c>
      <c r="G13" s="62">
        <v>49</v>
      </c>
      <c r="H13" s="62" t="s">
        <v>131</v>
      </c>
      <c r="I13" s="62" t="s">
        <v>134</v>
      </c>
      <c r="J13" s="62" t="s">
        <v>135</v>
      </c>
      <c r="K13" s="62"/>
      <c r="L13" s="63"/>
      <c r="M13" s="63"/>
      <c r="N13" s="52" t="b">
        <f t="shared" si="0"/>
        <v>0</v>
      </c>
      <c r="O13" s="52" t="b">
        <f t="shared" si="1"/>
        <v>0</v>
      </c>
      <c r="P13" s="52" t="b">
        <f t="shared" si="2"/>
        <v>0</v>
      </c>
      <c r="Q13" s="52" t="b">
        <f t="shared" si="3"/>
        <v>0</v>
      </c>
      <c r="R13" s="52" t="b">
        <f t="shared" si="4"/>
        <v>0</v>
      </c>
      <c r="S13" s="52" t="b">
        <f t="shared" si="5"/>
        <v>0</v>
      </c>
      <c r="T13" s="52" t="b">
        <f t="shared" si="6"/>
        <v>0</v>
      </c>
    </row>
    <row r="14" spans="3:20" ht="22.5" x14ac:dyDescent="0.2">
      <c r="C14" s="56" t="s">
        <v>52</v>
      </c>
      <c r="D14" s="46" t="s">
        <v>136</v>
      </c>
      <c r="E14" s="47" t="s">
        <v>137</v>
      </c>
      <c r="F14" s="47"/>
      <c r="G14" s="47"/>
      <c r="H14" s="47"/>
      <c r="I14" s="47"/>
      <c r="J14" s="47"/>
      <c r="K14" s="47"/>
      <c r="L14" s="48"/>
      <c r="M14" s="48"/>
      <c r="N14" s="52" t="str">
        <f t="shared" si="0"/>
        <v>8.1.3.</v>
      </c>
      <c r="O14" s="52" t="str">
        <f t="shared" si="1"/>
        <v>90.10.1 / 90.10.11</v>
      </c>
      <c r="P14" s="52" t="str">
        <f t="shared" si="2"/>
        <v>Прочие расходы по текущей деятельности / -||- (по местам хранения)</v>
      </c>
      <c r="Q14" s="52">
        <f t="shared" si="3"/>
        <v>50</v>
      </c>
      <c r="R14" s="52" t="str">
        <f t="shared" si="4"/>
        <v>Материальная помощь в связи со смертью</v>
      </c>
      <c r="S14" s="52" t="str">
        <f t="shared" si="5"/>
        <v>Виды прочих расходов</v>
      </c>
      <c r="T14" s="52" t="str">
        <f t="shared" si="6"/>
        <v>Материальная помощь в связи со смертью</v>
      </c>
    </row>
    <row r="15" spans="3:20" ht="33.75" x14ac:dyDescent="0.2">
      <c r="C15" s="56" t="s">
        <v>1087</v>
      </c>
      <c r="D15" s="62" t="s">
        <v>132</v>
      </c>
      <c r="E15" s="62"/>
      <c r="F15" s="62" t="s">
        <v>133</v>
      </c>
      <c r="G15" s="62">
        <v>50</v>
      </c>
      <c r="H15" s="62" t="s">
        <v>137</v>
      </c>
      <c r="I15" s="62" t="s">
        <v>134</v>
      </c>
      <c r="J15" s="62" t="s">
        <v>135</v>
      </c>
      <c r="K15" s="62"/>
      <c r="L15" s="63"/>
      <c r="M15" s="63"/>
      <c r="N15" s="52" t="b">
        <f t="shared" si="0"/>
        <v>0</v>
      </c>
      <c r="O15" s="52" t="b">
        <f t="shared" si="1"/>
        <v>0</v>
      </c>
      <c r="P15" s="52" t="b">
        <f t="shared" si="2"/>
        <v>0</v>
      </c>
      <c r="Q15" s="52" t="b">
        <f t="shared" si="3"/>
        <v>0</v>
      </c>
      <c r="R15" s="52" t="b">
        <f t="shared" si="4"/>
        <v>0</v>
      </c>
      <c r="S15" s="52" t="b">
        <f t="shared" si="5"/>
        <v>0</v>
      </c>
      <c r="T15" s="52" t="b">
        <f t="shared" si="6"/>
        <v>0</v>
      </c>
    </row>
    <row r="16" spans="3:20" x14ac:dyDescent="0.2">
      <c r="C16" s="56" t="s">
        <v>52</v>
      </c>
      <c r="D16" s="57" t="s">
        <v>138</v>
      </c>
      <c r="E16" s="58" t="s">
        <v>139</v>
      </c>
      <c r="F16" s="58"/>
      <c r="G16" s="58"/>
      <c r="H16" s="58"/>
      <c r="I16" s="58"/>
      <c r="J16" s="58"/>
      <c r="K16" s="58"/>
      <c r="L16" s="59" t="s">
        <v>121</v>
      </c>
      <c r="M16" s="60"/>
      <c r="N16" s="52" t="b">
        <f t="shared" si="0"/>
        <v>0</v>
      </c>
      <c r="O16" s="52" t="b">
        <f t="shared" si="1"/>
        <v>0</v>
      </c>
      <c r="P16" s="52" t="b">
        <f t="shared" si="2"/>
        <v>0</v>
      </c>
      <c r="Q16" s="52" t="b">
        <f t="shared" si="3"/>
        <v>0</v>
      </c>
      <c r="R16" s="52" t="b">
        <f t="shared" si="4"/>
        <v>0</v>
      </c>
      <c r="S16" s="52" t="b">
        <f t="shared" si="5"/>
        <v>0</v>
      </c>
      <c r="T16" s="52" t="b">
        <f t="shared" si="6"/>
        <v>0</v>
      </c>
    </row>
    <row r="17" spans="3:20" ht="22.5" x14ac:dyDescent="0.2">
      <c r="C17" s="56" t="s">
        <v>52</v>
      </c>
      <c r="D17" s="46" t="s">
        <v>140</v>
      </c>
      <c r="E17" s="47" t="s">
        <v>141</v>
      </c>
      <c r="F17" s="47"/>
      <c r="G17" s="47"/>
      <c r="H17" s="47"/>
      <c r="I17" s="47"/>
      <c r="J17" s="47"/>
      <c r="K17" s="47"/>
      <c r="L17" s="48"/>
      <c r="M17" s="48"/>
      <c r="N17" s="52" t="str">
        <f t="shared" si="0"/>
        <v>8.2.1.</v>
      </c>
      <c r="O17" s="52" t="str">
        <f t="shared" si="1"/>
        <v>44.2 / 44.3</v>
      </c>
      <c r="P17" s="52" t="str">
        <f t="shared" si="2"/>
        <v>Расходы на реализацию в торговле / Управленческие расходы в торговле</v>
      </c>
      <c r="Q17" s="52">
        <f t="shared" si="3"/>
        <v>532</v>
      </c>
      <c r="R17" s="52" t="str">
        <f t="shared" si="4"/>
        <v>Дополнительное пенсионное страхование</v>
      </c>
      <c r="S17" s="52" t="str">
        <f t="shared" si="5"/>
        <v>Элементы затрат</v>
      </c>
      <c r="T17" s="52" t="str">
        <f t="shared" si="6"/>
        <v>Дополнительное пенсионное страхование</v>
      </c>
    </row>
    <row r="18" spans="3:20" ht="22.5" x14ac:dyDescent="0.2">
      <c r="C18" s="56" t="s">
        <v>1087</v>
      </c>
      <c r="D18" s="61" t="s">
        <v>125</v>
      </c>
      <c r="E18" s="61"/>
      <c r="F18" s="62" t="s">
        <v>126</v>
      </c>
      <c r="G18" s="61">
        <v>532</v>
      </c>
      <c r="H18" s="61" t="s">
        <v>141</v>
      </c>
      <c r="I18" s="62" t="s">
        <v>127</v>
      </c>
      <c r="J18" s="62" t="s">
        <v>128</v>
      </c>
      <c r="K18" s="62" t="s">
        <v>129</v>
      </c>
      <c r="L18" s="63"/>
      <c r="M18" s="63"/>
      <c r="N18" s="52" t="b">
        <f t="shared" si="0"/>
        <v>0</v>
      </c>
      <c r="O18" s="52" t="b">
        <f t="shared" si="1"/>
        <v>0</v>
      </c>
      <c r="P18" s="52" t="b">
        <f t="shared" si="2"/>
        <v>0</v>
      </c>
      <c r="Q18" s="52" t="b">
        <f t="shared" si="3"/>
        <v>0</v>
      </c>
      <c r="R18" s="52" t="b">
        <f t="shared" si="4"/>
        <v>0</v>
      </c>
      <c r="S18" s="52" t="b">
        <f t="shared" si="5"/>
        <v>0</v>
      </c>
      <c r="T18" s="52" t="b">
        <f t="shared" si="6"/>
        <v>0</v>
      </c>
    </row>
    <row r="19" spans="3:20" x14ac:dyDescent="0.2">
      <c r="C19" s="56" t="s">
        <v>52</v>
      </c>
      <c r="D19" s="46" t="s">
        <v>142</v>
      </c>
      <c r="E19" s="47" t="s">
        <v>143</v>
      </c>
      <c r="F19" s="47"/>
      <c r="G19" s="47"/>
      <c r="H19" s="47"/>
      <c r="I19" s="47"/>
      <c r="J19" s="47"/>
      <c r="K19" s="47"/>
      <c r="L19" s="48"/>
      <c r="M19" s="48"/>
      <c r="N19" s="52" t="str">
        <f t="shared" si="0"/>
        <v>8.2.2.</v>
      </c>
      <c r="O19" s="52" t="str">
        <f t="shared" si="1"/>
        <v>44.2 / 44.3</v>
      </c>
      <c r="P19" s="52" t="str">
        <f t="shared" si="2"/>
        <v>Расходы на реализацию в торговле / Управленческие расходы в торговле</v>
      </c>
      <c r="Q19" s="52">
        <f t="shared" si="3"/>
        <v>39</v>
      </c>
      <c r="R19" s="52" t="str">
        <f t="shared" si="4"/>
        <v>Обязательное страхование ЗП</v>
      </c>
      <c r="S19" s="52" t="str">
        <f t="shared" si="5"/>
        <v>Элементы затрат</v>
      </c>
      <c r="T19" s="52" t="str">
        <f t="shared" si="6"/>
        <v>Обязательное страхование ЗП</v>
      </c>
    </row>
    <row r="20" spans="3:20" ht="22.5" x14ac:dyDescent="0.2">
      <c r="C20" s="56" t="s">
        <v>1087</v>
      </c>
      <c r="D20" s="61" t="s">
        <v>125</v>
      </c>
      <c r="E20" s="61"/>
      <c r="F20" s="62" t="s">
        <v>126</v>
      </c>
      <c r="G20" s="61">
        <v>39</v>
      </c>
      <c r="H20" s="61" t="s">
        <v>143</v>
      </c>
      <c r="I20" s="62" t="s">
        <v>127</v>
      </c>
      <c r="J20" s="62" t="s">
        <v>128</v>
      </c>
      <c r="K20" s="62" t="s">
        <v>129</v>
      </c>
      <c r="L20" s="63"/>
      <c r="M20" s="63"/>
      <c r="N20" s="52" t="b">
        <f t="shared" si="0"/>
        <v>0</v>
      </c>
      <c r="O20" s="52" t="b">
        <f t="shared" si="1"/>
        <v>0</v>
      </c>
      <c r="P20" s="52" t="b">
        <f t="shared" si="2"/>
        <v>0</v>
      </c>
      <c r="Q20" s="52" t="b">
        <f t="shared" si="3"/>
        <v>0</v>
      </c>
      <c r="R20" s="52" t="b">
        <f t="shared" si="4"/>
        <v>0</v>
      </c>
      <c r="S20" s="52" t="b">
        <f t="shared" si="5"/>
        <v>0</v>
      </c>
      <c r="T20" s="52" t="b">
        <f t="shared" si="6"/>
        <v>0</v>
      </c>
    </row>
    <row r="21" spans="3:20" ht="33.75" x14ac:dyDescent="0.2">
      <c r="C21" s="56" t="s">
        <v>1087</v>
      </c>
      <c r="D21" s="62" t="s">
        <v>132</v>
      </c>
      <c r="E21" s="62"/>
      <c r="F21" s="62" t="s">
        <v>133</v>
      </c>
      <c r="G21" s="62">
        <v>51</v>
      </c>
      <c r="H21" s="62" t="s">
        <v>143</v>
      </c>
      <c r="I21" s="62" t="s">
        <v>134</v>
      </c>
      <c r="J21" s="62" t="s">
        <v>135</v>
      </c>
      <c r="K21" s="62"/>
      <c r="L21" s="63"/>
      <c r="M21" s="63"/>
      <c r="N21" s="52" t="b">
        <f t="shared" si="0"/>
        <v>0</v>
      </c>
      <c r="O21" s="52" t="b">
        <f t="shared" si="1"/>
        <v>0</v>
      </c>
      <c r="P21" s="52" t="b">
        <f t="shared" si="2"/>
        <v>0</v>
      </c>
      <c r="Q21" s="52" t="b">
        <f t="shared" si="3"/>
        <v>0</v>
      </c>
      <c r="R21" s="52" t="b">
        <f t="shared" si="4"/>
        <v>0</v>
      </c>
      <c r="S21" s="52" t="b">
        <f t="shared" si="5"/>
        <v>0</v>
      </c>
      <c r="T21" s="52" t="b">
        <f t="shared" si="6"/>
        <v>0</v>
      </c>
    </row>
    <row r="22" spans="3:20" x14ac:dyDescent="0.2">
      <c r="C22" s="56" t="s">
        <v>52</v>
      </c>
      <c r="D22" s="46" t="s">
        <v>144</v>
      </c>
      <c r="E22" s="47" t="s">
        <v>145</v>
      </c>
      <c r="F22" s="47"/>
      <c r="G22" s="47"/>
      <c r="H22" s="47"/>
      <c r="I22" s="47"/>
      <c r="J22" s="47"/>
      <c r="K22" s="47"/>
      <c r="L22" s="48"/>
      <c r="M22" s="48"/>
      <c r="N22" s="52" t="str">
        <f t="shared" si="0"/>
        <v>8.2.3.</v>
      </c>
      <c r="O22" s="52" t="str">
        <f t="shared" si="1"/>
        <v>44.2 / 44.3</v>
      </c>
      <c r="P22" s="52" t="str">
        <f t="shared" si="2"/>
        <v>Расходы на реализацию в торговле / Управленческие расходы в торговле</v>
      </c>
      <c r="Q22" s="52">
        <f t="shared" si="3"/>
        <v>40</v>
      </c>
      <c r="R22" s="52" t="str">
        <f t="shared" si="4"/>
        <v>ФСЗН</v>
      </c>
      <c r="S22" s="52" t="str">
        <f t="shared" si="5"/>
        <v>Элементы затрат</v>
      </c>
      <c r="T22" s="52" t="str">
        <f t="shared" si="6"/>
        <v>ФСЗН</v>
      </c>
    </row>
    <row r="23" spans="3:20" ht="22.5" x14ac:dyDescent="0.2">
      <c r="C23" s="56" t="s">
        <v>1087</v>
      </c>
      <c r="D23" s="61" t="s">
        <v>125</v>
      </c>
      <c r="E23" s="61"/>
      <c r="F23" s="62" t="s">
        <v>126</v>
      </c>
      <c r="G23" s="61">
        <v>40</v>
      </c>
      <c r="H23" s="61" t="s">
        <v>145</v>
      </c>
      <c r="I23" s="62" t="s">
        <v>127</v>
      </c>
      <c r="J23" s="62" t="s">
        <v>128</v>
      </c>
      <c r="K23" s="62" t="s">
        <v>129</v>
      </c>
      <c r="L23" s="63"/>
      <c r="M23" s="63"/>
      <c r="N23" s="52" t="b">
        <f t="shared" si="0"/>
        <v>0</v>
      </c>
      <c r="O23" s="52" t="b">
        <f t="shared" si="1"/>
        <v>0</v>
      </c>
      <c r="P23" s="52" t="b">
        <f t="shared" si="2"/>
        <v>0</v>
      </c>
      <c r="Q23" s="52" t="b">
        <f t="shared" si="3"/>
        <v>0</v>
      </c>
      <c r="R23" s="52" t="b">
        <f t="shared" si="4"/>
        <v>0</v>
      </c>
      <c r="S23" s="52" t="b">
        <f t="shared" si="5"/>
        <v>0</v>
      </c>
      <c r="T23" s="52" t="b">
        <f t="shared" si="6"/>
        <v>0</v>
      </c>
    </row>
    <row r="24" spans="3:20" x14ac:dyDescent="0.2">
      <c r="C24" s="56" t="s">
        <v>52</v>
      </c>
      <c r="D24" s="46" t="s">
        <v>146</v>
      </c>
      <c r="E24" s="47" t="s">
        <v>147</v>
      </c>
      <c r="F24" s="47"/>
      <c r="G24" s="47"/>
      <c r="H24" s="47"/>
      <c r="I24" s="47"/>
      <c r="J24" s="47"/>
      <c r="K24" s="47"/>
      <c r="L24" s="48"/>
      <c r="M24" s="48"/>
      <c r="N24" s="52" t="str">
        <f t="shared" si="0"/>
        <v>8.2.4.</v>
      </c>
      <c r="O24" s="52" t="str">
        <f t="shared" si="1"/>
        <v>90.10.1 / 90.10.11</v>
      </c>
      <c r="P24" s="52" t="str">
        <f t="shared" si="2"/>
        <v>Прочие расходы по текущей деятельности / -||- (по местам хранения)</v>
      </c>
      <c r="Q24" s="52">
        <f t="shared" si="3"/>
        <v>53</v>
      </c>
      <c r="R24" s="52" t="str">
        <f t="shared" si="4"/>
        <v>Отчисления в ФСЗН</v>
      </c>
      <c r="S24" s="52" t="str">
        <f t="shared" si="5"/>
        <v>Виды прочих расходов</v>
      </c>
      <c r="T24" s="52" t="str">
        <f t="shared" si="6"/>
        <v>Отчисления в ФСЗН</v>
      </c>
    </row>
    <row r="25" spans="3:20" ht="33.75" x14ac:dyDescent="0.2">
      <c r="C25" s="56" t="s">
        <v>1087</v>
      </c>
      <c r="D25" s="61" t="s">
        <v>132</v>
      </c>
      <c r="E25" s="61"/>
      <c r="F25" s="62" t="s">
        <v>133</v>
      </c>
      <c r="G25" s="61">
        <v>53</v>
      </c>
      <c r="H25" s="61" t="s">
        <v>147</v>
      </c>
      <c r="I25" s="62" t="s">
        <v>134</v>
      </c>
      <c r="J25" s="62" t="s">
        <v>135</v>
      </c>
      <c r="K25" s="62"/>
      <c r="L25" s="63"/>
      <c r="M25" s="63"/>
      <c r="N25" s="52" t="b">
        <f t="shared" si="0"/>
        <v>0</v>
      </c>
      <c r="O25" s="52" t="b">
        <f t="shared" si="1"/>
        <v>0</v>
      </c>
      <c r="P25" s="52" t="b">
        <f t="shared" si="2"/>
        <v>0</v>
      </c>
      <c r="Q25" s="52" t="b">
        <f t="shared" si="3"/>
        <v>0</v>
      </c>
      <c r="R25" s="52" t="b">
        <f t="shared" si="4"/>
        <v>0</v>
      </c>
      <c r="S25" s="52" t="b">
        <f t="shared" si="5"/>
        <v>0</v>
      </c>
      <c r="T25" s="52" t="b">
        <f t="shared" si="6"/>
        <v>0</v>
      </c>
    </row>
    <row r="26" spans="3:20" x14ac:dyDescent="0.2">
      <c r="C26" s="56" t="s">
        <v>52</v>
      </c>
      <c r="D26" s="57" t="s">
        <v>148</v>
      </c>
      <c r="E26" s="58" t="s">
        <v>149</v>
      </c>
      <c r="F26" s="58"/>
      <c r="G26" s="58"/>
      <c r="H26" s="58"/>
      <c r="I26" s="58"/>
      <c r="J26" s="58"/>
      <c r="K26" s="58"/>
      <c r="L26" s="60"/>
      <c r="M26" s="58" t="s">
        <v>150</v>
      </c>
      <c r="N26" s="52" t="str">
        <f t="shared" si="0"/>
        <v>8.3.</v>
      </c>
      <c r="O26" s="52" t="str">
        <f t="shared" si="1"/>
        <v>44.2 / 44.3</v>
      </c>
      <c r="P26" s="52" t="str">
        <f t="shared" si="2"/>
        <v>Расходы на реализацию в торговле / Управленческие расходы в торговле</v>
      </c>
      <c r="Q26" s="52">
        <f t="shared" si="3"/>
        <v>502</v>
      </c>
      <c r="R26" s="52" t="str">
        <f t="shared" si="4"/>
        <v>Услуги по предоставлению персонала сторонними организациями</v>
      </c>
      <c r="S26" s="52" t="str">
        <f t="shared" si="5"/>
        <v>Элементы затрат</v>
      </c>
      <c r="T26" s="52" t="str">
        <f t="shared" si="6"/>
        <v>найм сотрудников со стороны</v>
      </c>
    </row>
    <row r="27" spans="3:20" ht="33.75" x14ac:dyDescent="0.2">
      <c r="C27" s="56" t="s">
        <v>1087</v>
      </c>
      <c r="D27" s="61" t="s">
        <v>125</v>
      </c>
      <c r="E27" s="61"/>
      <c r="F27" s="62" t="s">
        <v>126</v>
      </c>
      <c r="G27" s="61">
        <v>502</v>
      </c>
      <c r="H27" s="61" t="s">
        <v>151</v>
      </c>
      <c r="I27" s="62" t="s">
        <v>127</v>
      </c>
      <c r="J27" s="62" t="s">
        <v>128</v>
      </c>
      <c r="K27" s="62" t="s">
        <v>129</v>
      </c>
      <c r="L27" s="63"/>
      <c r="M27" s="63"/>
      <c r="N27" s="52" t="b">
        <f t="shared" si="0"/>
        <v>0</v>
      </c>
      <c r="O27" s="52" t="b">
        <f t="shared" si="1"/>
        <v>0</v>
      </c>
      <c r="P27" s="52" t="b">
        <f t="shared" si="2"/>
        <v>0</v>
      </c>
      <c r="Q27" s="52" t="b">
        <f t="shared" si="3"/>
        <v>0</v>
      </c>
      <c r="R27" s="52" t="b">
        <f t="shared" si="4"/>
        <v>0</v>
      </c>
      <c r="S27" s="52" t="b">
        <f t="shared" si="5"/>
        <v>0</v>
      </c>
      <c r="T27" s="52" t="b">
        <f t="shared" si="6"/>
        <v>0</v>
      </c>
    </row>
    <row r="28" spans="3:20" ht="22.5" hidden="1" x14ac:dyDescent="0.2">
      <c r="C28" s="35"/>
      <c r="D28" s="35" t="s">
        <v>98</v>
      </c>
      <c r="E28" s="35" t="s">
        <v>99</v>
      </c>
      <c r="F28" s="35" t="s">
        <v>100</v>
      </c>
      <c r="G28" s="35" t="s">
        <v>101</v>
      </c>
      <c r="H28" s="35" t="s">
        <v>102</v>
      </c>
      <c r="I28" s="35" t="s">
        <v>103</v>
      </c>
      <c r="J28" s="35" t="s">
        <v>104</v>
      </c>
      <c r="K28" s="35" t="s">
        <v>105</v>
      </c>
      <c r="L28" s="35" t="s">
        <v>106</v>
      </c>
      <c r="M28" s="35" t="s">
        <v>107</v>
      </c>
      <c r="N28" s="52" t="b">
        <f t="shared" si="0"/>
        <v>0</v>
      </c>
      <c r="O28" s="52" t="b">
        <f t="shared" si="1"/>
        <v>0</v>
      </c>
      <c r="P28" s="52" t="b">
        <f t="shared" si="2"/>
        <v>0</v>
      </c>
      <c r="Q28" s="52" t="b">
        <f t="shared" si="3"/>
        <v>0</v>
      </c>
      <c r="R28" s="52" t="b">
        <f t="shared" si="4"/>
        <v>0</v>
      </c>
      <c r="S28" s="52" t="b">
        <f t="shared" si="5"/>
        <v>0</v>
      </c>
      <c r="T28" s="52" t="b">
        <f t="shared" si="6"/>
        <v>0</v>
      </c>
    </row>
    <row r="29" spans="3:20" ht="96.75" customHeight="1" x14ac:dyDescent="0.2">
      <c r="C29" s="56" t="s">
        <v>52</v>
      </c>
      <c r="D29" s="64">
        <v>9</v>
      </c>
      <c r="E29" s="65" t="s">
        <v>152</v>
      </c>
      <c r="F29" s="65" t="s">
        <v>71</v>
      </c>
      <c r="G29" s="65"/>
      <c r="H29" s="65"/>
      <c r="I29" s="65"/>
      <c r="J29" s="65"/>
      <c r="K29" s="65"/>
      <c r="L29" s="66"/>
      <c r="M29" s="66" t="s">
        <v>153</v>
      </c>
      <c r="N29" s="52" t="b">
        <f t="shared" si="0"/>
        <v>0</v>
      </c>
      <c r="O29" s="52" t="b">
        <f t="shared" si="1"/>
        <v>0</v>
      </c>
      <c r="P29" s="52" t="b">
        <f t="shared" si="2"/>
        <v>0</v>
      </c>
      <c r="Q29" s="52" t="b">
        <f t="shared" si="3"/>
        <v>0</v>
      </c>
      <c r="R29" s="52" t="b">
        <f t="shared" si="4"/>
        <v>0</v>
      </c>
      <c r="S29" s="52" t="b">
        <f t="shared" si="5"/>
        <v>0</v>
      </c>
      <c r="T29" s="52" t="b">
        <f t="shared" si="6"/>
        <v>0</v>
      </c>
    </row>
    <row r="30" spans="3:20" ht="22.5" x14ac:dyDescent="0.2">
      <c r="C30" s="56" t="s">
        <v>52</v>
      </c>
      <c r="D30" s="43" t="s">
        <v>154</v>
      </c>
      <c r="E30" s="44" t="s">
        <v>155</v>
      </c>
      <c r="F30" s="44"/>
      <c r="G30" s="44"/>
      <c r="H30" s="44"/>
      <c r="I30" s="44"/>
      <c r="J30" s="44"/>
      <c r="K30" s="44"/>
      <c r="L30" s="45"/>
      <c r="M30" s="45"/>
      <c r="N30" s="52" t="b">
        <f t="shared" si="0"/>
        <v>0</v>
      </c>
      <c r="O30" s="52" t="b">
        <f t="shared" si="1"/>
        <v>0</v>
      </c>
      <c r="P30" s="52" t="b">
        <f t="shared" si="2"/>
        <v>0</v>
      </c>
      <c r="Q30" s="52" t="b">
        <f t="shared" si="3"/>
        <v>0</v>
      </c>
      <c r="R30" s="52" t="b">
        <f t="shared" si="4"/>
        <v>0</v>
      </c>
      <c r="S30" s="52" t="b">
        <f t="shared" si="5"/>
        <v>0</v>
      </c>
      <c r="T30" s="52" t="b">
        <f t="shared" si="6"/>
        <v>0</v>
      </c>
    </row>
    <row r="31" spans="3:20" x14ac:dyDescent="0.2">
      <c r="C31" s="56" t="s">
        <v>52</v>
      </c>
      <c r="D31" s="43" t="s">
        <v>156</v>
      </c>
      <c r="E31" s="44" t="s">
        <v>157</v>
      </c>
      <c r="F31" s="44"/>
      <c r="G31" s="44"/>
      <c r="H31" s="44"/>
      <c r="I31" s="44"/>
      <c r="J31" s="44"/>
      <c r="K31" s="44"/>
      <c r="L31" s="45"/>
      <c r="M31" s="45"/>
      <c r="N31" s="52" t="str">
        <f t="shared" si="0"/>
        <v>9.1.1.</v>
      </c>
      <c r="O31" s="52" t="str">
        <f t="shared" si="1"/>
        <v>44.2 / 44.3</v>
      </c>
      <c r="P31" s="52" t="str">
        <f t="shared" si="2"/>
        <v>Расходы на реализацию в торговле / Управленческие расходы в торговле</v>
      </c>
      <c r="Q31" s="52">
        <f t="shared" si="3"/>
        <v>11</v>
      </c>
      <c r="R31" s="52" t="str">
        <f t="shared" si="4"/>
        <v>Естественная убыль</v>
      </c>
      <c r="S31" s="52" t="str">
        <f t="shared" si="5"/>
        <v>Элементы затрат</v>
      </c>
      <c r="T31" s="52" t="str">
        <f t="shared" si="6"/>
        <v>Естественная убыль</v>
      </c>
    </row>
    <row r="32" spans="3:20" ht="22.5" x14ac:dyDescent="0.2">
      <c r="C32" s="56" t="s">
        <v>1087</v>
      </c>
      <c r="D32" s="61" t="s">
        <v>125</v>
      </c>
      <c r="E32" s="61"/>
      <c r="F32" s="62" t="s">
        <v>126</v>
      </c>
      <c r="G32" s="61">
        <v>11</v>
      </c>
      <c r="H32" s="61" t="s">
        <v>157</v>
      </c>
      <c r="I32" s="62" t="s">
        <v>127</v>
      </c>
      <c r="J32" s="62" t="s">
        <v>128</v>
      </c>
      <c r="K32" s="62" t="s">
        <v>129</v>
      </c>
      <c r="L32" s="63"/>
      <c r="M32" s="63"/>
      <c r="N32" s="52" t="b">
        <f t="shared" si="0"/>
        <v>0</v>
      </c>
      <c r="O32" s="52" t="b">
        <f t="shared" si="1"/>
        <v>0</v>
      </c>
      <c r="P32" s="52" t="b">
        <f t="shared" si="2"/>
        <v>0</v>
      </c>
      <c r="Q32" s="52" t="b">
        <f t="shared" si="3"/>
        <v>0</v>
      </c>
      <c r="R32" s="52" t="b">
        <f t="shared" si="4"/>
        <v>0</v>
      </c>
      <c r="S32" s="52" t="b">
        <f t="shared" si="5"/>
        <v>0</v>
      </c>
      <c r="T32" s="52" t="b">
        <f t="shared" si="6"/>
        <v>0</v>
      </c>
    </row>
    <row r="33" spans="3:20" x14ac:dyDescent="0.2">
      <c r="C33" s="56" t="s">
        <v>52</v>
      </c>
      <c r="D33" s="43" t="s">
        <v>158</v>
      </c>
      <c r="E33" s="44" t="s">
        <v>159</v>
      </c>
      <c r="F33" s="44"/>
      <c r="G33" s="44"/>
      <c r="H33" s="44"/>
      <c r="I33" s="44"/>
      <c r="J33" s="44"/>
      <c r="K33" s="44"/>
      <c r="L33" s="45"/>
      <c r="M33" s="45"/>
      <c r="N33" s="52" t="str">
        <f t="shared" si="0"/>
        <v>9.1.2.</v>
      </c>
      <c r="O33" s="52" t="str">
        <f t="shared" si="1"/>
        <v>44.2 / 44.3</v>
      </c>
      <c r="P33" s="52" t="str">
        <f t="shared" si="2"/>
        <v>Расходы на реализацию в торговле / Управленческие расходы в торговле</v>
      </c>
      <c r="Q33" s="52">
        <f t="shared" si="3"/>
        <v>12</v>
      </c>
      <c r="R33" s="52" t="str">
        <f t="shared" si="4"/>
        <v>Предпродажные отходы</v>
      </c>
      <c r="S33" s="52" t="str">
        <f t="shared" si="5"/>
        <v>Элементы затрат</v>
      </c>
      <c r="T33" s="52" t="str">
        <f t="shared" si="6"/>
        <v>Предпродажные отходы</v>
      </c>
    </row>
    <row r="34" spans="3:20" ht="22.5" x14ac:dyDescent="0.2">
      <c r="C34" s="56" t="s">
        <v>1087</v>
      </c>
      <c r="D34" s="61" t="s">
        <v>125</v>
      </c>
      <c r="E34" s="61"/>
      <c r="F34" s="62" t="s">
        <v>126</v>
      </c>
      <c r="G34" s="61">
        <v>12</v>
      </c>
      <c r="H34" s="61" t="s">
        <v>159</v>
      </c>
      <c r="I34" s="62" t="s">
        <v>127</v>
      </c>
      <c r="J34" s="62" t="s">
        <v>128</v>
      </c>
      <c r="K34" s="62" t="s">
        <v>129</v>
      </c>
      <c r="L34" s="63"/>
      <c r="M34" s="63"/>
      <c r="N34" s="52" t="b">
        <f t="shared" si="0"/>
        <v>0</v>
      </c>
      <c r="O34" s="52" t="b">
        <f t="shared" si="1"/>
        <v>0</v>
      </c>
      <c r="P34" s="52" t="b">
        <f t="shared" si="2"/>
        <v>0</v>
      </c>
      <c r="Q34" s="52" t="b">
        <f t="shared" si="3"/>
        <v>0</v>
      </c>
      <c r="R34" s="52" t="b">
        <f t="shared" si="4"/>
        <v>0</v>
      </c>
      <c r="S34" s="52" t="b">
        <f t="shared" si="5"/>
        <v>0</v>
      </c>
      <c r="T34" s="52" t="b">
        <f t="shared" si="6"/>
        <v>0</v>
      </c>
    </row>
    <row r="35" spans="3:20" ht="22.5" x14ac:dyDescent="0.2">
      <c r="C35" s="56" t="s">
        <v>52</v>
      </c>
      <c r="D35" s="43" t="s">
        <v>160</v>
      </c>
      <c r="E35" s="44" t="s">
        <v>161</v>
      </c>
      <c r="F35" s="44"/>
      <c r="G35" s="44"/>
      <c r="H35" s="44"/>
      <c r="I35" s="44"/>
      <c r="J35" s="44"/>
      <c r="K35" s="44"/>
      <c r="L35" s="45"/>
      <c r="M35" s="45"/>
      <c r="N35" s="52" t="str">
        <f t="shared" si="0"/>
        <v>9.2.</v>
      </c>
      <c r="O35" s="52" t="str">
        <f t="shared" si="1"/>
        <v>90.10.1 / 90.10.11</v>
      </c>
      <c r="P35" s="52" t="str">
        <f t="shared" si="2"/>
        <v>Прочие расходы по текущей деятельности / -||- (по местам хранения)</v>
      </c>
      <c r="Q35" s="52">
        <f t="shared" si="3"/>
        <v>63</v>
      </c>
      <c r="R35" s="52" t="str">
        <f t="shared" si="4"/>
        <v>Списание товарных потерь на забывчивость в пределах норм</v>
      </c>
      <c r="S35" s="52" t="str">
        <f t="shared" si="5"/>
        <v>Виды прочих расходов</v>
      </c>
      <c r="T35" s="52" t="str">
        <f t="shared" si="6"/>
        <v>списание на забывчивость покупателей</v>
      </c>
    </row>
    <row r="36" spans="3:20" ht="33.75" x14ac:dyDescent="0.2">
      <c r="C36" s="56" t="s">
        <v>1087</v>
      </c>
      <c r="D36" s="62" t="s">
        <v>132</v>
      </c>
      <c r="E36" s="62"/>
      <c r="F36" s="62" t="s">
        <v>133</v>
      </c>
      <c r="G36" s="62">
        <v>63</v>
      </c>
      <c r="H36" s="62" t="s">
        <v>162</v>
      </c>
      <c r="I36" s="62" t="s">
        <v>134</v>
      </c>
      <c r="J36" s="62" t="s">
        <v>135</v>
      </c>
      <c r="K36" s="62"/>
      <c r="L36" s="63"/>
      <c r="M36" s="63"/>
      <c r="N36" s="52" t="b">
        <f t="shared" si="0"/>
        <v>0</v>
      </c>
      <c r="O36" s="52" t="b">
        <f t="shared" si="1"/>
        <v>0</v>
      </c>
      <c r="P36" s="52" t="b">
        <f t="shared" si="2"/>
        <v>0</v>
      </c>
      <c r="Q36" s="52" t="b">
        <f t="shared" si="3"/>
        <v>0</v>
      </c>
      <c r="R36" s="52" t="b">
        <f t="shared" si="4"/>
        <v>0</v>
      </c>
      <c r="S36" s="52" t="b">
        <f t="shared" si="5"/>
        <v>0</v>
      </c>
      <c r="T36" s="52" t="b">
        <f t="shared" si="6"/>
        <v>0</v>
      </c>
    </row>
    <row r="37" spans="3:20" ht="22.5" x14ac:dyDescent="0.2">
      <c r="C37" s="56" t="s">
        <v>52</v>
      </c>
      <c r="D37" s="43" t="s">
        <v>163</v>
      </c>
      <c r="E37" s="44" t="s">
        <v>164</v>
      </c>
      <c r="F37" s="44"/>
      <c r="G37" s="44"/>
      <c r="H37" s="44"/>
      <c r="I37" s="44"/>
      <c r="J37" s="44"/>
      <c r="K37" s="44"/>
      <c r="L37" s="45"/>
      <c r="M37" s="45"/>
      <c r="N37" s="52" t="b">
        <f t="shared" si="0"/>
        <v>0</v>
      </c>
      <c r="O37" s="52" t="b">
        <f t="shared" si="1"/>
        <v>0</v>
      </c>
      <c r="P37" s="52" t="b">
        <f t="shared" si="2"/>
        <v>0</v>
      </c>
      <c r="Q37" s="52" t="b">
        <f t="shared" si="3"/>
        <v>0</v>
      </c>
      <c r="R37" s="52" t="b">
        <f t="shared" si="4"/>
        <v>0</v>
      </c>
      <c r="S37" s="52" t="b">
        <f t="shared" si="5"/>
        <v>0</v>
      </c>
      <c r="T37" s="52" t="b">
        <f t="shared" si="6"/>
        <v>0</v>
      </c>
    </row>
    <row r="38" spans="3:20" x14ac:dyDescent="0.2">
      <c r="C38" s="56" t="s">
        <v>52</v>
      </c>
      <c r="D38" s="43" t="s">
        <v>165</v>
      </c>
      <c r="E38" s="44" t="s">
        <v>166</v>
      </c>
      <c r="F38" s="44"/>
      <c r="G38" s="44"/>
      <c r="H38" s="44"/>
      <c r="I38" s="44"/>
      <c r="J38" s="44"/>
      <c r="K38" s="44"/>
      <c r="L38" s="45"/>
      <c r="M38" s="45"/>
      <c r="N38" s="52" t="str">
        <f t="shared" si="0"/>
        <v>9.3.1.</v>
      </c>
      <c r="O38" s="52" t="str">
        <f t="shared" si="1"/>
        <v>90.10.1 / 90.10.11</v>
      </c>
      <c r="P38" s="52" t="str">
        <f t="shared" si="2"/>
        <v>Прочие расходы по текущей деятельности / -||- (по местам хранения)</v>
      </c>
      <c r="Q38" s="52">
        <f t="shared" si="3"/>
        <v>34</v>
      </c>
      <c r="R38" s="52" t="str">
        <f t="shared" si="4"/>
        <v>Списание продукции по актам</v>
      </c>
      <c r="S38" s="52" t="str">
        <f t="shared" si="5"/>
        <v>Виды прочих расходов</v>
      </c>
      <c r="T38" s="52" t="str">
        <f t="shared" si="6"/>
        <v>Списание продукции по актам</v>
      </c>
    </row>
    <row r="39" spans="3:20" ht="33.75" x14ac:dyDescent="0.2">
      <c r="C39" s="56" t="s">
        <v>1087</v>
      </c>
      <c r="D39" s="62" t="s">
        <v>132</v>
      </c>
      <c r="E39" s="62"/>
      <c r="F39" s="62" t="s">
        <v>133</v>
      </c>
      <c r="G39" s="62">
        <v>34</v>
      </c>
      <c r="H39" s="62" t="s">
        <v>166</v>
      </c>
      <c r="I39" s="62" t="s">
        <v>134</v>
      </c>
      <c r="J39" s="62" t="s">
        <v>135</v>
      </c>
      <c r="K39" s="62"/>
      <c r="L39" s="63" t="s">
        <v>167</v>
      </c>
      <c r="M39" s="63"/>
      <c r="N39" s="52" t="b">
        <f t="shared" si="0"/>
        <v>0</v>
      </c>
      <c r="O39" s="52" t="b">
        <f t="shared" si="1"/>
        <v>0</v>
      </c>
      <c r="P39" s="52" t="b">
        <f t="shared" si="2"/>
        <v>0</v>
      </c>
      <c r="Q39" s="52" t="b">
        <f t="shared" si="3"/>
        <v>0</v>
      </c>
      <c r="R39" s="52" t="b">
        <f t="shared" si="4"/>
        <v>0</v>
      </c>
      <c r="S39" s="52" t="b">
        <f t="shared" si="5"/>
        <v>0</v>
      </c>
      <c r="T39" s="52" t="b">
        <f t="shared" si="6"/>
        <v>0</v>
      </c>
    </row>
    <row r="40" spans="3:20" ht="22.5" x14ac:dyDescent="0.2">
      <c r="C40" s="56" t="s">
        <v>52</v>
      </c>
      <c r="D40" s="43" t="s">
        <v>168</v>
      </c>
      <c r="E40" s="44" t="s">
        <v>169</v>
      </c>
      <c r="F40" s="44"/>
      <c r="G40" s="44"/>
      <c r="H40" s="44"/>
      <c r="I40" s="44"/>
      <c r="J40" s="44"/>
      <c r="K40" s="44"/>
      <c r="L40" s="45"/>
      <c r="M40" s="45"/>
      <c r="N40" s="52" t="str">
        <f t="shared" si="0"/>
        <v>9.3.2.</v>
      </c>
      <c r="O40" s="52" t="str">
        <f t="shared" si="1"/>
        <v>90.10.1 / 90.10.11</v>
      </c>
      <c r="P40" s="52" t="str">
        <f t="shared" si="2"/>
        <v>Прочие расходы по текущей деятельности / -||- (по местам хранения)</v>
      </c>
      <c r="Q40" s="52">
        <f t="shared" si="3"/>
        <v>126</v>
      </c>
      <c r="R40" s="52" t="str">
        <f t="shared" si="4"/>
        <v>Списание продукции по актам (призн. складом "Сухой сток")</v>
      </c>
      <c r="S40" s="52" t="str">
        <f t="shared" si="5"/>
        <v>Виды прочих расходов</v>
      </c>
      <c r="T40" s="52" t="str">
        <f t="shared" si="6"/>
        <v>Списание продукции по актам (призн. складом "Сухой сток")</v>
      </c>
    </row>
    <row r="41" spans="3:20" ht="33.75" x14ac:dyDescent="0.2">
      <c r="C41" s="56" t="s">
        <v>1087</v>
      </c>
      <c r="D41" s="62" t="s">
        <v>132</v>
      </c>
      <c r="E41" s="62"/>
      <c r="F41" s="62" t="s">
        <v>133</v>
      </c>
      <c r="G41" s="62">
        <v>126</v>
      </c>
      <c r="H41" s="62" t="s">
        <v>169</v>
      </c>
      <c r="I41" s="62" t="s">
        <v>134</v>
      </c>
      <c r="J41" s="62" t="s">
        <v>135</v>
      </c>
      <c r="K41" s="62"/>
      <c r="L41" s="63" t="s">
        <v>170</v>
      </c>
      <c r="M41" s="63"/>
      <c r="N41" s="52" t="b">
        <f t="shared" si="0"/>
        <v>0</v>
      </c>
      <c r="O41" s="52" t="b">
        <f t="shared" si="1"/>
        <v>0</v>
      </c>
      <c r="P41" s="52" t="b">
        <f t="shared" si="2"/>
        <v>0</v>
      </c>
      <c r="Q41" s="52" t="b">
        <f t="shared" si="3"/>
        <v>0</v>
      </c>
      <c r="R41" s="52" t="b">
        <f t="shared" si="4"/>
        <v>0</v>
      </c>
      <c r="S41" s="52" t="b">
        <f t="shared" si="5"/>
        <v>0</v>
      </c>
      <c r="T41" s="52" t="b">
        <f t="shared" si="6"/>
        <v>0</v>
      </c>
    </row>
    <row r="42" spans="3:20" ht="22.5" x14ac:dyDescent="0.2">
      <c r="C42" s="56" t="s">
        <v>52</v>
      </c>
      <c r="D42" s="43" t="s">
        <v>171</v>
      </c>
      <c r="E42" s="44" t="s">
        <v>172</v>
      </c>
      <c r="F42" s="44"/>
      <c r="G42" s="44"/>
      <c r="H42" s="44"/>
      <c r="I42" s="44"/>
      <c r="J42" s="44"/>
      <c r="K42" s="44"/>
      <c r="L42" s="45"/>
      <c r="M42" s="45"/>
      <c r="N42" s="52" t="str">
        <f t="shared" si="0"/>
        <v>9.3.3.</v>
      </c>
      <c r="O42" s="52" t="str">
        <f t="shared" si="1"/>
        <v>90.10.1 / 90.10.11</v>
      </c>
      <c r="P42" s="52" t="str">
        <f t="shared" si="2"/>
        <v>Прочие расходы по текущей деятельности / -||- (по местам хранения)</v>
      </c>
      <c r="Q42" s="52">
        <f t="shared" si="3"/>
        <v>109</v>
      </c>
      <c r="R42" s="52" t="str">
        <f t="shared" si="4"/>
        <v>Списание продукции по актам (признанные складом СОФ)</v>
      </c>
      <c r="S42" s="52" t="str">
        <f t="shared" si="5"/>
        <v>Виды прочих расходов</v>
      </c>
      <c r="T42" s="52" t="str">
        <f t="shared" si="6"/>
        <v>Списание продукции по актам (признанные складом СОФ)</v>
      </c>
    </row>
    <row r="43" spans="3:20" ht="33.75" x14ac:dyDescent="0.2">
      <c r="C43" s="56" t="s">
        <v>1087</v>
      </c>
      <c r="D43" s="62" t="s">
        <v>132</v>
      </c>
      <c r="E43" s="62"/>
      <c r="F43" s="62" t="s">
        <v>133</v>
      </c>
      <c r="G43" s="62">
        <v>109</v>
      </c>
      <c r="H43" s="62" t="s">
        <v>172</v>
      </c>
      <c r="I43" s="62" t="s">
        <v>134</v>
      </c>
      <c r="J43" s="62" t="s">
        <v>135</v>
      </c>
      <c r="K43" s="62"/>
      <c r="L43" s="63" t="s">
        <v>173</v>
      </c>
      <c r="M43" s="63"/>
      <c r="N43" s="52" t="b">
        <f t="shared" si="0"/>
        <v>0</v>
      </c>
      <c r="O43" s="52" t="b">
        <f t="shared" si="1"/>
        <v>0</v>
      </c>
      <c r="P43" s="52" t="b">
        <f t="shared" si="2"/>
        <v>0</v>
      </c>
      <c r="Q43" s="52" t="b">
        <f t="shared" si="3"/>
        <v>0</v>
      </c>
      <c r="R43" s="52" t="b">
        <f t="shared" si="4"/>
        <v>0</v>
      </c>
      <c r="S43" s="52" t="b">
        <f t="shared" si="5"/>
        <v>0</v>
      </c>
      <c r="T43" s="52" t="b">
        <f t="shared" si="6"/>
        <v>0</v>
      </c>
    </row>
    <row r="44" spans="3:20" ht="33.75" x14ac:dyDescent="0.2">
      <c r="C44" s="56" t="s">
        <v>52</v>
      </c>
      <c r="D44" s="43" t="s">
        <v>174</v>
      </c>
      <c r="E44" s="44" t="s">
        <v>175</v>
      </c>
      <c r="F44" s="44"/>
      <c r="G44" s="44"/>
      <c r="H44" s="44"/>
      <c r="I44" s="44"/>
      <c r="J44" s="44"/>
      <c r="K44" s="44"/>
      <c r="L44" s="45"/>
      <c r="M44" s="45"/>
      <c r="N44" s="52" t="str">
        <f t="shared" si="0"/>
        <v>9.3.4.</v>
      </c>
      <c r="O44" s="52" t="str">
        <f t="shared" si="1"/>
        <v>90.10.1 / 90.10.11</v>
      </c>
      <c r="P44" s="52" t="str">
        <f t="shared" si="2"/>
        <v>Прочие расходы по текущей деятельности / -||- (по местам хранения)</v>
      </c>
      <c r="Q44" s="52">
        <f t="shared" si="3"/>
        <v>86</v>
      </c>
      <c r="R44" s="52" t="str">
        <f t="shared" si="4"/>
        <v>Списание товарных потерь (в том числе на забывчивость сверх норм)</v>
      </c>
      <c r="S44" s="52" t="str">
        <f t="shared" si="5"/>
        <v>Виды прочих расходов</v>
      </c>
      <c r="T44" s="52" t="str">
        <f t="shared" si="6"/>
        <v>Списание товарных потерь (в том числе на забывчивость сверх норм)</v>
      </c>
    </row>
    <row r="45" spans="3:20" ht="33.75" x14ac:dyDescent="0.2">
      <c r="C45" s="56" t="s">
        <v>1087</v>
      </c>
      <c r="D45" s="62" t="s">
        <v>132</v>
      </c>
      <c r="E45" s="62"/>
      <c r="F45" s="62" t="s">
        <v>133</v>
      </c>
      <c r="G45" s="62">
        <v>86</v>
      </c>
      <c r="H45" s="62" t="s">
        <v>175</v>
      </c>
      <c r="I45" s="62" t="s">
        <v>134</v>
      </c>
      <c r="J45" s="62" t="s">
        <v>135</v>
      </c>
      <c r="K45" s="62"/>
      <c r="L45" s="63" t="s">
        <v>167</v>
      </c>
      <c r="M45" s="63"/>
      <c r="N45" s="52" t="b">
        <f t="shared" si="0"/>
        <v>0</v>
      </c>
      <c r="O45" s="52" t="b">
        <f t="shared" si="1"/>
        <v>0</v>
      </c>
      <c r="P45" s="52" t="b">
        <f t="shared" si="2"/>
        <v>0</v>
      </c>
      <c r="Q45" s="52" t="b">
        <f t="shared" si="3"/>
        <v>0</v>
      </c>
      <c r="R45" s="52" t="b">
        <f t="shared" si="4"/>
        <v>0</v>
      </c>
      <c r="S45" s="52" t="b">
        <f t="shared" si="5"/>
        <v>0</v>
      </c>
      <c r="T45" s="52" t="b">
        <f t="shared" si="6"/>
        <v>0</v>
      </c>
    </row>
    <row r="46" spans="3:20" ht="33.75" x14ac:dyDescent="0.2">
      <c r="C46" s="56" t="s">
        <v>52</v>
      </c>
      <c r="D46" s="43" t="s">
        <v>176</v>
      </c>
      <c r="E46" s="44" t="s">
        <v>177</v>
      </c>
      <c r="F46" s="44"/>
      <c r="G46" s="44"/>
      <c r="H46" s="44"/>
      <c r="I46" s="44"/>
      <c r="J46" s="44"/>
      <c r="K46" s="44"/>
      <c r="L46" s="45"/>
      <c r="M46" s="45"/>
      <c r="N46" s="52" t="str">
        <f t="shared" si="0"/>
        <v>9.3.5.</v>
      </c>
      <c r="O46" s="52" t="str">
        <f t="shared" si="1"/>
        <v>90.10.1 / 90.10.11</v>
      </c>
      <c r="P46" s="52" t="str">
        <f t="shared" si="2"/>
        <v>Прочие расходы по текущей деятельности / -||- (по местам хранения)</v>
      </c>
      <c r="Q46" s="52">
        <f t="shared" si="3"/>
        <v>125</v>
      </c>
      <c r="R46" s="52" t="str">
        <f t="shared" si="4"/>
        <v>Восстан. вычет НДС при порче, утрате тов. (порча при хран. и реал.))</v>
      </c>
      <c r="S46" s="52" t="str">
        <f t="shared" si="5"/>
        <v>Виды прочих расходов</v>
      </c>
      <c r="T46" s="52" t="str">
        <f t="shared" si="6"/>
        <v>Восстан. вычет НДС при порче, утрате тов. (порча при хран. и реал.))</v>
      </c>
    </row>
    <row r="47" spans="3:20" ht="33.75" x14ac:dyDescent="0.2">
      <c r="C47" s="56" t="s">
        <v>1087</v>
      </c>
      <c r="D47" s="62" t="s">
        <v>132</v>
      </c>
      <c r="E47" s="62"/>
      <c r="F47" s="62" t="s">
        <v>133</v>
      </c>
      <c r="G47" s="62">
        <v>125</v>
      </c>
      <c r="H47" s="62" t="s">
        <v>177</v>
      </c>
      <c r="I47" s="62" t="s">
        <v>134</v>
      </c>
      <c r="J47" s="62" t="s">
        <v>135</v>
      </c>
      <c r="K47" s="62"/>
      <c r="L47" s="63" t="s">
        <v>173</v>
      </c>
      <c r="M47" s="63"/>
      <c r="N47" s="52" t="b">
        <f t="shared" si="0"/>
        <v>0</v>
      </c>
      <c r="O47" s="52" t="b">
        <f t="shared" si="1"/>
        <v>0</v>
      </c>
      <c r="P47" s="52" t="b">
        <f t="shared" si="2"/>
        <v>0</v>
      </c>
      <c r="Q47" s="52" t="b">
        <f t="shared" si="3"/>
        <v>0</v>
      </c>
      <c r="R47" s="52" t="b">
        <f t="shared" si="4"/>
        <v>0</v>
      </c>
      <c r="S47" s="52" t="b">
        <f t="shared" si="5"/>
        <v>0</v>
      </c>
      <c r="T47" s="52" t="b">
        <f t="shared" si="6"/>
        <v>0</v>
      </c>
    </row>
    <row r="48" spans="3:20" ht="33.75" x14ac:dyDescent="0.2">
      <c r="C48" s="56" t="s">
        <v>52</v>
      </c>
      <c r="D48" s="43" t="s">
        <v>178</v>
      </c>
      <c r="E48" s="44" t="s">
        <v>179</v>
      </c>
      <c r="F48" s="44"/>
      <c r="G48" s="44"/>
      <c r="H48" s="44"/>
      <c r="I48" s="44"/>
      <c r="J48" s="44"/>
      <c r="K48" s="44"/>
      <c r="L48" s="45"/>
      <c r="M48" s="45"/>
      <c r="N48" s="52" t="str">
        <f t="shared" si="0"/>
        <v>9.3.6.</v>
      </c>
      <c r="O48" s="52" t="str">
        <f t="shared" si="1"/>
        <v>90.10.1 / 90.10.11</v>
      </c>
      <c r="P48" s="52" t="str">
        <f t="shared" si="2"/>
        <v>Прочие расходы по текущей деятельности / -||- (по местам хранения)</v>
      </c>
      <c r="Q48" s="52">
        <f t="shared" si="3"/>
        <v>115</v>
      </c>
      <c r="R48" s="52" t="str">
        <f t="shared" si="4"/>
        <v>Восстан. вычет НДС при порче, утрате тов. (потери сверх норм ест. уб.)</v>
      </c>
      <c r="S48" s="52" t="str">
        <f t="shared" si="5"/>
        <v>Виды прочих расходов</v>
      </c>
      <c r="T48" s="52" t="str">
        <f t="shared" si="6"/>
        <v>Восстан. вычет НДС при порче, утрате тов. (потери сверх норм ест. уб.)</v>
      </c>
    </row>
    <row r="49" spans="3:20" ht="33.75" x14ac:dyDescent="0.2">
      <c r="C49" s="56" t="s">
        <v>1087</v>
      </c>
      <c r="D49" s="62" t="s">
        <v>132</v>
      </c>
      <c r="E49" s="62"/>
      <c r="F49" s="62" t="s">
        <v>133</v>
      </c>
      <c r="G49" s="62">
        <v>115</v>
      </c>
      <c r="H49" s="62" t="s">
        <v>179</v>
      </c>
      <c r="I49" s="62" t="s">
        <v>134</v>
      </c>
      <c r="J49" s="62" t="s">
        <v>135</v>
      </c>
      <c r="K49" s="62"/>
      <c r="L49" s="63" t="s">
        <v>173</v>
      </c>
      <c r="M49" s="63"/>
      <c r="N49" s="52" t="b">
        <f t="shared" si="0"/>
        <v>0</v>
      </c>
      <c r="O49" s="52" t="b">
        <f t="shared" si="1"/>
        <v>0</v>
      </c>
      <c r="P49" s="52" t="b">
        <f t="shared" si="2"/>
        <v>0</v>
      </c>
      <c r="Q49" s="52" t="b">
        <f t="shared" si="3"/>
        <v>0</v>
      </c>
      <c r="R49" s="52" t="b">
        <f t="shared" si="4"/>
        <v>0</v>
      </c>
      <c r="S49" s="52" t="b">
        <f t="shared" si="5"/>
        <v>0</v>
      </c>
      <c r="T49" s="52" t="b">
        <f t="shared" si="6"/>
        <v>0</v>
      </c>
    </row>
    <row r="50" spans="3:20" ht="22.5" x14ac:dyDescent="0.2">
      <c r="C50" s="56" t="s">
        <v>52</v>
      </c>
      <c r="D50" s="43" t="s">
        <v>180</v>
      </c>
      <c r="E50" s="44" t="s">
        <v>181</v>
      </c>
      <c r="F50" s="44"/>
      <c r="G50" s="44"/>
      <c r="H50" s="44"/>
      <c r="I50" s="44"/>
      <c r="J50" s="44"/>
      <c r="K50" s="44"/>
      <c r="L50" s="45"/>
      <c r="M50" s="45"/>
      <c r="N50" s="52" t="b">
        <f t="shared" si="0"/>
        <v>0</v>
      </c>
      <c r="O50" s="52" t="b">
        <f t="shared" si="1"/>
        <v>0</v>
      </c>
      <c r="P50" s="52" t="b">
        <f t="shared" si="2"/>
        <v>0</v>
      </c>
      <c r="Q50" s="52" t="b">
        <f t="shared" si="3"/>
        <v>0</v>
      </c>
      <c r="R50" s="52" t="b">
        <f t="shared" si="4"/>
        <v>0</v>
      </c>
      <c r="S50" s="52" t="b">
        <f t="shared" si="5"/>
        <v>0</v>
      </c>
      <c r="T50" s="52" t="b">
        <f t="shared" si="6"/>
        <v>0</v>
      </c>
    </row>
    <row r="51" spans="3:20" hidden="1" x14ac:dyDescent="0.2">
      <c r="C51" s="56"/>
      <c r="D51" s="62"/>
      <c r="E51" s="62" t="s">
        <v>182</v>
      </c>
      <c r="F51" s="62"/>
      <c r="G51" s="62"/>
      <c r="H51" s="62"/>
      <c r="I51" s="62"/>
      <c r="J51" s="62"/>
      <c r="K51" s="62"/>
      <c r="L51" s="63" t="s">
        <v>183</v>
      </c>
      <c r="M51" s="63"/>
      <c r="N51" s="52" t="b">
        <f t="shared" si="0"/>
        <v>0</v>
      </c>
      <c r="O51" s="52" t="b">
        <f t="shared" si="1"/>
        <v>0</v>
      </c>
      <c r="P51" s="52" t="b">
        <f t="shared" si="2"/>
        <v>0</v>
      </c>
      <c r="Q51" s="52" t="b">
        <f t="shared" si="3"/>
        <v>0</v>
      </c>
      <c r="R51" s="52" t="b">
        <f t="shared" si="4"/>
        <v>0</v>
      </c>
      <c r="S51" s="52" t="b">
        <f t="shared" si="5"/>
        <v>0</v>
      </c>
      <c r="T51" s="52" t="b">
        <f t="shared" si="6"/>
        <v>0</v>
      </c>
    </row>
    <row r="52" spans="3:20" ht="22.5" x14ac:dyDescent="0.2">
      <c r="C52" s="56" t="s">
        <v>52</v>
      </c>
      <c r="D52" s="43" t="s">
        <v>184</v>
      </c>
      <c r="E52" s="44" t="s">
        <v>185</v>
      </c>
      <c r="F52" s="44"/>
      <c r="G52" s="44"/>
      <c r="H52" s="44"/>
      <c r="I52" s="44"/>
      <c r="J52" s="44"/>
      <c r="K52" s="44"/>
      <c r="L52" s="45"/>
      <c r="M52" s="45"/>
      <c r="N52" s="52" t="b">
        <f t="shared" si="0"/>
        <v>0</v>
      </c>
      <c r="O52" s="52" t="b">
        <f t="shared" si="1"/>
        <v>0</v>
      </c>
      <c r="P52" s="52" t="b">
        <f t="shared" si="2"/>
        <v>0</v>
      </c>
      <c r="Q52" s="52" t="b">
        <f t="shared" si="3"/>
        <v>0</v>
      </c>
      <c r="R52" s="52" t="b">
        <f t="shared" si="4"/>
        <v>0</v>
      </c>
      <c r="S52" s="52" t="b">
        <f t="shared" si="5"/>
        <v>0</v>
      </c>
      <c r="T52" s="52" t="b">
        <f t="shared" si="6"/>
        <v>0</v>
      </c>
    </row>
    <row r="53" spans="3:20" x14ac:dyDescent="0.2">
      <c r="C53" s="56" t="s">
        <v>52</v>
      </c>
      <c r="D53" s="40"/>
      <c r="E53" s="41" t="s">
        <v>186</v>
      </c>
      <c r="F53" s="41"/>
      <c r="G53" s="41"/>
      <c r="H53" s="41"/>
      <c r="I53" s="41"/>
      <c r="J53" s="41"/>
      <c r="K53" s="41"/>
      <c r="L53" s="42" t="s">
        <v>187</v>
      </c>
      <c r="M53" s="42"/>
      <c r="N53" s="52" t="b">
        <f t="shared" si="0"/>
        <v>0</v>
      </c>
      <c r="O53" s="52" t="b">
        <f t="shared" si="1"/>
        <v>0</v>
      </c>
      <c r="P53" s="52" t="b">
        <f t="shared" si="2"/>
        <v>0</v>
      </c>
      <c r="Q53" s="52" t="b">
        <f t="shared" si="3"/>
        <v>0</v>
      </c>
      <c r="R53" s="52" t="b">
        <f t="shared" si="4"/>
        <v>0</v>
      </c>
      <c r="S53" s="52" t="b">
        <f t="shared" si="5"/>
        <v>0</v>
      </c>
      <c r="T53" s="52" t="b">
        <f t="shared" si="6"/>
        <v>0</v>
      </c>
    </row>
    <row r="54" spans="3:20" hidden="1" x14ac:dyDescent="0.2">
      <c r="C54" s="56"/>
      <c r="D54" s="62"/>
      <c r="E54" s="62" t="s">
        <v>182</v>
      </c>
      <c r="F54" s="62"/>
      <c r="G54" s="62"/>
      <c r="H54" s="62"/>
      <c r="I54" s="62"/>
      <c r="J54" s="62"/>
      <c r="K54" s="62"/>
      <c r="L54" s="63" t="s">
        <v>188</v>
      </c>
      <c r="M54" s="63"/>
      <c r="N54" s="52" t="b">
        <f t="shared" si="0"/>
        <v>0</v>
      </c>
      <c r="O54" s="52" t="b">
        <f t="shared" si="1"/>
        <v>0</v>
      </c>
      <c r="P54" s="52" t="b">
        <f t="shared" si="2"/>
        <v>0</v>
      </c>
      <c r="Q54" s="52" t="b">
        <f t="shared" si="3"/>
        <v>0</v>
      </c>
      <c r="R54" s="52" t="b">
        <f t="shared" si="4"/>
        <v>0</v>
      </c>
      <c r="S54" s="52" t="b">
        <f t="shared" si="5"/>
        <v>0</v>
      </c>
      <c r="T54" s="52" t="b">
        <f t="shared" si="6"/>
        <v>0</v>
      </c>
    </row>
    <row r="55" spans="3:20" ht="22.5" x14ac:dyDescent="0.2">
      <c r="C55" s="56" t="s">
        <v>52</v>
      </c>
      <c r="D55" s="43" t="s">
        <v>189</v>
      </c>
      <c r="E55" s="44" t="s">
        <v>190</v>
      </c>
      <c r="F55" s="44"/>
      <c r="G55" s="44"/>
      <c r="H55" s="44"/>
      <c r="I55" s="44"/>
      <c r="J55" s="44"/>
      <c r="K55" s="44"/>
      <c r="L55" s="45"/>
      <c r="M55" s="45" t="s">
        <v>191</v>
      </c>
      <c r="N55" s="52" t="str">
        <f t="shared" si="0"/>
        <v>9.6.</v>
      </c>
      <c r="O55" s="52" t="str">
        <f t="shared" si="1"/>
        <v>90.10.1 / 90.10.11</v>
      </c>
      <c r="P55" s="52" t="str">
        <f t="shared" si="2"/>
        <v>Прочие расходы по текущей деятельности / -||- (по местам хранения)</v>
      </c>
      <c r="Q55" s="52">
        <f t="shared" si="3"/>
        <v>101</v>
      </c>
      <c r="R55" s="52" t="str">
        <f t="shared" si="4"/>
        <v>Претензии,признанные поставщиками ВЭД</v>
      </c>
      <c r="S55" s="52" t="str">
        <f t="shared" si="5"/>
        <v>Виды прочих расходов</v>
      </c>
      <c r="T55" s="52" t="str">
        <f t="shared" si="6"/>
        <v>подлежит компенсация браков поставщиками</v>
      </c>
    </row>
    <row r="56" spans="3:20" ht="33.75" x14ac:dyDescent="0.2">
      <c r="C56" s="56" t="s">
        <v>1087</v>
      </c>
      <c r="D56" s="62" t="s">
        <v>132</v>
      </c>
      <c r="E56" s="62"/>
      <c r="F56" s="62" t="s">
        <v>133</v>
      </c>
      <c r="G56" s="62">
        <v>101</v>
      </c>
      <c r="H56" s="62" t="s">
        <v>192</v>
      </c>
      <c r="I56" s="62" t="s">
        <v>134</v>
      </c>
      <c r="J56" s="62" t="s">
        <v>135</v>
      </c>
      <c r="K56" s="62"/>
      <c r="L56" s="63" t="s">
        <v>193</v>
      </c>
      <c r="M56" s="63"/>
      <c r="N56" s="52" t="b">
        <f t="shared" si="0"/>
        <v>0</v>
      </c>
      <c r="O56" s="52" t="b">
        <f t="shared" si="1"/>
        <v>0</v>
      </c>
      <c r="P56" s="52" t="b">
        <f t="shared" si="2"/>
        <v>0</v>
      </c>
      <c r="Q56" s="52" t="b">
        <f t="shared" si="3"/>
        <v>0</v>
      </c>
      <c r="R56" s="52" t="b">
        <f t="shared" si="4"/>
        <v>0</v>
      </c>
      <c r="S56" s="52" t="b">
        <f t="shared" si="5"/>
        <v>0</v>
      </c>
      <c r="T56" s="52" t="b">
        <f t="shared" si="6"/>
        <v>0</v>
      </c>
    </row>
    <row r="57" spans="3:20" ht="22.5" x14ac:dyDescent="0.2">
      <c r="C57" s="56" t="s">
        <v>52</v>
      </c>
      <c r="D57" s="67" t="s">
        <v>194</v>
      </c>
      <c r="E57" s="68" t="s">
        <v>195</v>
      </c>
      <c r="F57" s="68"/>
      <c r="G57" s="68"/>
      <c r="H57" s="68"/>
      <c r="I57" s="68"/>
      <c r="J57" s="68"/>
      <c r="K57" s="68"/>
      <c r="L57" s="69" t="s">
        <v>196</v>
      </c>
      <c r="M57" s="45"/>
      <c r="N57" s="52" t="str">
        <f t="shared" si="0"/>
        <v>9.7.</v>
      </c>
      <c r="O57" s="52" t="str">
        <f t="shared" si="1"/>
        <v>73.2</v>
      </c>
      <c r="P57" s="52" t="str">
        <f t="shared" si="2"/>
        <v>Расчеты по возмещению материального ущерба</v>
      </c>
      <c r="Q57" s="52">
        <f t="shared" si="3"/>
        <v>94</v>
      </c>
      <c r="R57" s="52" t="str">
        <f t="shared" si="4"/>
        <v>Сотрудники</v>
      </c>
      <c r="S57" s="52" t="str">
        <f t="shared" si="5"/>
        <v>Сотрудники</v>
      </c>
      <c r="T57" s="52" t="str">
        <f t="shared" si="6"/>
        <v>справочно: подлежит компенсации сотрудниками</v>
      </c>
    </row>
    <row r="58" spans="3:20" ht="22.5" x14ac:dyDescent="0.2">
      <c r="C58" s="56" t="s">
        <v>1087</v>
      </c>
      <c r="D58" s="62" t="s">
        <v>197</v>
      </c>
      <c r="E58" s="62"/>
      <c r="F58" s="62" t="s">
        <v>198</v>
      </c>
      <c r="G58" s="41">
        <v>94</v>
      </c>
      <c r="H58" s="41" t="s">
        <v>199</v>
      </c>
      <c r="I58" s="62" t="s">
        <v>199</v>
      </c>
      <c r="J58" s="62"/>
      <c r="K58" s="62"/>
      <c r="L58" s="63"/>
      <c r="M58" s="63"/>
      <c r="N58" s="52" t="b">
        <f t="shared" si="0"/>
        <v>0</v>
      </c>
      <c r="O58" s="52" t="b">
        <f t="shared" si="1"/>
        <v>0</v>
      </c>
      <c r="P58" s="52" t="b">
        <f t="shared" si="2"/>
        <v>0</v>
      </c>
      <c r="Q58" s="52" t="b">
        <f t="shared" si="3"/>
        <v>0</v>
      </c>
      <c r="R58" s="52" t="b">
        <f t="shared" si="4"/>
        <v>0</v>
      </c>
      <c r="S58" s="52" t="b">
        <f t="shared" si="5"/>
        <v>0</v>
      </c>
      <c r="T58" s="52" t="b">
        <f t="shared" si="6"/>
        <v>0</v>
      </c>
    </row>
    <row r="59" spans="3:20" ht="22.5" hidden="1" x14ac:dyDescent="0.2">
      <c r="C59" s="35"/>
      <c r="D59" s="35" t="s">
        <v>98</v>
      </c>
      <c r="E59" s="35" t="s">
        <v>99</v>
      </c>
      <c r="F59" s="35" t="s">
        <v>100</v>
      </c>
      <c r="G59" s="35" t="s">
        <v>101</v>
      </c>
      <c r="H59" s="35" t="s">
        <v>102</v>
      </c>
      <c r="I59" s="35" t="s">
        <v>103</v>
      </c>
      <c r="J59" s="35" t="s">
        <v>104</v>
      </c>
      <c r="K59" s="35" t="s">
        <v>105</v>
      </c>
      <c r="L59" s="35" t="s">
        <v>106</v>
      </c>
      <c r="M59" s="35" t="s">
        <v>107</v>
      </c>
      <c r="N59" s="52" t="b">
        <f t="shared" si="0"/>
        <v>0</v>
      </c>
      <c r="O59" s="52" t="b">
        <f t="shared" si="1"/>
        <v>0</v>
      </c>
      <c r="P59" s="52" t="b">
        <f t="shared" si="2"/>
        <v>0</v>
      </c>
      <c r="Q59" s="52" t="b">
        <f t="shared" si="3"/>
        <v>0</v>
      </c>
      <c r="R59" s="52" t="b">
        <f t="shared" si="4"/>
        <v>0</v>
      </c>
      <c r="S59" s="52" t="b">
        <f t="shared" si="5"/>
        <v>0</v>
      </c>
      <c r="T59" s="52" t="b">
        <f t="shared" si="6"/>
        <v>0</v>
      </c>
    </row>
    <row r="60" spans="3:20" x14ac:dyDescent="0.2">
      <c r="C60" s="56" t="s">
        <v>52</v>
      </c>
      <c r="D60" s="70">
        <v>10</v>
      </c>
      <c r="E60" s="71" t="s">
        <v>200</v>
      </c>
      <c r="F60" s="71"/>
      <c r="G60" s="71"/>
      <c r="H60" s="71"/>
      <c r="I60" s="71"/>
      <c r="J60" s="71"/>
      <c r="K60" s="71"/>
      <c r="L60" s="70"/>
      <c r="M60" s="38" t="s">
        <v>201</v>
      </c>
      <c r="N60" s="52" t="b">
        <f t="shared" si="0"/>
        <v>0</v>
      </c>
      <c r="O60" s="52" t="b">
        <f t="shared" si="1"/>
        <v>0</v>
      </c>
      <c r="P60" s="52" t="b">
        <f t="shared" si="2"/>
        <v>0</v>
      </c>
      <c r="Q60" s="52" t="b">
        <f t="shared" si="3"/>
        <v>0</v>
      </c>
      <c r="R60" s="52" t="b">
        <f t="shared" si="4"/>
        <v>0</v>
      </c>
      <c r="S60" s="52" t="b">
        <f t="shared" si="5"/>
        <v>0</v>
      </c>
      <c r="T60" s="52" t="b">
        <f t="shared" si="6"/>
        <v>0</v>
      </c>
    </row>
    <row r="61" spans="3:20" ht="22.5" x14ac:dyDescent="0.2">
      <c r="C61" s="56" t="s">
        <v>52</v>
      </c>
      <c r="D61" s="48" t="s">
        <v>202</v>
      </c>
      <c r="E61" s="47" t="s">
        <v>203</v>
      </c>
      <c r="F61" s="47"/>
      <c r="G61" s="47"/>
      <c r="H61" s="47"/>
      <c r="I61" s="47"/>
      <c r="J61" s="47"/>
      <c r="K61" s="47"/>
      <c r="L61" s="48"/>
      <c r="M61" s="48"/>
      <c r="N61" s="52" t="b">
        <f t="shared" si="0"/>
        <v>0</v>
      </c>
      <c r="O61" s="52" t="b">
        <f t="shared" si="1"/>
        <v>0</v>
      </c>
      <c r="P61" s="52" t="b">
        <f t="shared" si="2"/>
        <v>0</v>
      </c>
      <c r="Q61" s="52" t="b">
        <f t="shared" si="3"/>
        <v>0</v>
      </c>
      <c r="R61" s="52" t="b">
        <f t="shared" si="4"/>
        <v>0</v>
      </c>
      <c r="S61" s="52" t="b">
        <f t="shared" si="5"/>
        <v>0</v>
      </c>
      <c r="T61" s="52" t="b">
        <f t="shared" si="6"/>
        <v>0</v>
      </c>
    </row>
    <row r="62" spans="3:20" x14ac:dyDescent="0.2">
      <c r="C62" s="56" t="s">
        <v>52</v>
      </c>
      <c r="D62" s="48" t="s">
        <v>204</v>
      </c>
      <c r="E62" s="47" t="s">
        <v>205</v>
      </c>
      <c r="F62" s="47"/>
      <c r="G62" s="47"/>
      <c r="H62" s="47"/>
      <c r="I62" s="47"/>
      <c r="J62" s="47"/>
      <c r="K62" s="47"/>
      <c r="L62" s="48"/>
      <c r="M62" s="48"/>
      <c r="N62" s="52" t="str">
        <f t="shared" si="0"/>
        <v>10.1.1.</v>
      </c>
      <c r="O62" s="52" t="str">
        <f t="shared" si="1"/>
        <v>44.2 / 44.3</v>
      </c>
      <c r="P62" s="52" t="str">
        <f t="shared" si="2"/>
        <v>Расходы на реализацию в торговле / Управленческие расходы в торговле</v>
      </c>
      <c r="Q62" s="52">
        <f t="shared" si="3"/>
        <v>224</v>
      </c>
      <c r="R62" s="52" t="str">
        <f t="shared" si="4"/>
        <v>Транспортные расходы</v>
      </c>
      <c r="S62" s="52" t="str">
        <f t="shared" si="5"/>
        <v>Элементы затрат</v>
      </c>
      <c r="T62" s="52" t="str">
        <f t="shared" si="6"/>
        <v>Транспортные расходы</v>
      </c>
    </row>
    <row r="63" spans="3:20" ht="22.5" x14ac:dyDescent="0.2">
      <c r="C63" s="56" t="s">
        <v>1087</v>
      </c>
      <c r="D63" s="61" t="s">
        <v>125</v>
      </c>
      <c r="E63" s="61"/>
      <c r="F63" s="62" t="s">
        <v>126</v>
      </c>
      <c r="G63" s="62">
        <v>224</v>
      </c>
      <c r="H63" s="62" t="s">
        <v>205</v>
      </c>
      <c r="I63" s="62" t="s">
        <v>127</v>
      </c>
      <c r="J63" s="62" t="s">
        <v>128</v>
      </c>
      <c r="K63" s="62" t="s">
        <v>129</v>
      </c>
      <c r="L63" s="72"/>
      <c r="M63" s="73"/>
      <c r="N63" s="52" t="b">
        <f t="shared" si="0"/>
        <v>0</v>
      </c>
      <c r="O63" s="52" t="b">
        <f t="shared" si="1"/>
        <v>0</v>
      </c>
      <c r="P63" s="52" t="b">
        <f t="shared" si="2"/>
        <v>0</v>
      </c>
      <c r="Q63" s="52" t="b">
        <f t="shared" si="3"/>
        <v>0</v>
      </c>
      <c r="R63" s="52" t="b">
        <f t="shared" si="4"/>
        <v>0</v>
      </c>
      <c r="S63" s="52" t="b">
        <f t="shared" si="5"/>
        <v>0</v>
      </c>
      <c r="T63" s="52" t="b">
        <f t="shared" si="6"/>
        <v>0</v>
      </c>
    </row>
    <row r="64" spans="3:20" ht="22.5" x14ac:dyDescent="0.2">
      <c r="C64" s="56" t="s">
        <v>52</v>
      </c>
      <c r="D64" s="48" t="s">
        <v>206</v>
      </c>
      <c r="E64" s="47" t="s">
        <v>207</v>
      </c>
      <c r="F64" s="47"/>
      <c r="G64" s="47"/>
      <c r="H64" s="47"/>
      <c r="I64" s="47"/>
      <c r="J64" s="47"/>
      <c r="K64" s="47"/>
      <c r="L64" s="48"/>
      <c r="M64" s="48"/>
      <c r="N64" s="52" t="str">
        <f t="shared" si="0"/>
        <v>10.1.2.</v>
      </c>
      <c r="O64" s="52" t="str">
        <f t="shared" si="1"/>
        <v>44.2 / 44.3</v>
      </c>
      <c r="P64" s="52" t="str">
        <f t="shared" si="2"/>
        <v>Расходы на реализацию в торговле / Управленческие расходы в торговле</v>
      </c>
      <c r="Q64" s="52">
        <f t="shared" si="3"/>
        <v>226</v>
      </c>
      <c r="R64" s="52" t="str">
        <f t="shared" si="4"/>
        <v>Доставка товаров от поставщика сторонним транспортом</v>
      </c>
      <c r="S64" s="52" t="str">
        <f t="shared" si="5"/>
        <v>Элементы затрат</v>
      </c>
      <c r="T64" s="52" t="str">
        <f t="shared" si="6"/>
        <v>Доставка товаров от поставщика сторонним транспортом</v>
      </c>
    </row>
    <row r="65" spans="3:20" ht="22.5" x14ac:dyDescent="0.2">
      <c r="C65" s="56" t="s">
        <v>1087</v>
      </c>
      <c r="D65" s="61" t="s">
        <v>125</v>
      </c>
      <c r="E65" s="61"/>
      <c r="F65" s="62" t="s">
        <v>126</v>
      </c>
      <c r="G65" s="62">
        <v>226</v>
      </c>
      <c r="H65" s="62" t="s">
        <v>207</v>
      </c>
      <c r="I65" s="62" t="s">
        <v>127</v>
      </c>
      <c r="J65" s="62" t="s">
        <v>128</v>
      </c>
      <c r="K65" s="62" t="s">
        <v>129</v>
      </c>
      <c r="L65" s="72"/>
      <c r="M65" s="73"/>
      <c r="N65" s="52" t="b">
        <f t="shared" si="0"/>
        <v>0</v>
      </c>
      <c r="O65" s="52" t="b">
        <f t="shared" si="1"/>
        <v>0</v>
      </c>
      <c r="P65" s="52" t="b">
        <f t="shared" si="2"/>
        <v>0</v>
      </c>
      <c r="Q65" s="52" t="b">
        <f t="shared" si="3"/>
        <v>0</v>
      </c>
      <c r="R65" s="52" t="b">
        <f t="shared" si="4"/>
        <v>0</v>
      </c>
      <c r="S65" s="52" t="b">
        <f t="shared" si="5"/>
        <v>0</v>
      </c>
      <c r="T65" s="52" t="b">
        <f t="shared" si="6"/>
        <v>0</v>
      </c>
    </row>
    <row r="66" spans="3:20" x14ac:dyDescent="0.2">
      <c r="C66" s="56" t="s">
        <v>52</v>
      </c>
      <c r="D66" s="48" t="s">
        <v>208</v>
      </c>
      <c r="E66" s="47" t="s">
        <v>209</v>
      </c>
      <c r="F66" s="47"/>
      <c r="G66" s="47"/>
      <c r="H66" s="47"/>
      <c r="I66" s="47"/>
      <c r="J66" s="47"/>
      <c r="K66" s="47"/>
      <c r="L66" s="48"/>
      <c r="M66" s="48"/>
      <c r="N66" s="52" t="str">
        <f t="shared" si="0"/>
        <v>10.1.3.</v>
      </c>
      <c r="O66" s="52" t="str">
        <f t="shared" si="1"/>
        <v>44.2 / 44.3</v>
      </c>
      <c r="P66" s="52" t="str">
        <f t="shared" si="2"/>
        <v>Расходы на реализацию в торговле / Управленческие расходы в торговле</v>
      </c>
      <c r="Q66" s="52">
        <f t="shared" si="3"/>
        <v>552</v>
      </c>
      <c r="R66" s="52" t="str">
        <f t="shared" si="4"/>
        <v>Экспедиционные расходы</v>
      </c>
      <c r="S66" s="52" t="str">
        <f t="shared" si="5"/>
        <v>Элементы затрат</v>
      </c>
      <c r="T66" s="52" t="str">
        <f t="shared" si="6"/>
        <v>Экспедиционные расходы</v>
      </c>
    </row>
    <row r="67" spans="3:20" ht="22.5" x14ac:dyDescent="0.2">
      <c r="C67" s="56" t="s">
        <v>1087</v>
      </c>
      <c r="D67" s="61" t="s">
        <v>125</v>
      </c>
      <c r="E67" s="61"/>
      <c r="F67" s="62" t="s">
        <v>126</v>
      </c>
      <c r="G67" s="62">
        <v>552</v>
      </c>
      <c r="H67" s="62" t="s">
        <v>209</v>
      </c>
      <c r="I67" s="62" t="s">
        <v>127</v>
      </c>
      <c r="J67" s="62" t="s">
        <v>128</v>
      </c>
      <c r="K67" s="62" t="s">
        <v>129</v>
      </c>
      <c r="L67" s="72"/>
      <c r="M67" s="73"/>
      <c r="N67" s="52" t="b">
        <f t="shared" ref="N67:N130" si="7">IF(AND($C67="Упр", $C68="1s"), D67)</f>
        <v>0</v>
      </c>
      <c r="O67" s="52" t="b">
        <f t="shared" ref="O67:O130" si="8">IF(AND($C67="Упр", $C68="1s"), D68)</f>
        <v>0</v>
      </c>
      <c r="P67" s="52" t="b">
        <f t="shared" ref="P67:P130" si="9">IF(AND($C67="Упр", $C68="1s"), F68)</f>
        <v>0</v>
      </c>
      <c r="Q67" s="52" t="b">
        <f t="shared" ref="Q67:Q130" si="10">IF(AND($C67="Упр", $C68="1s"), G68)</f>
        <v>0</v>
      </c>
      <c r="R67" s="52" t="b">
        <f t="shared" ref="R67:R130" si="11">IF(AND($C67="Упр", $C68="1s"), H68)</f>
        <v>0</v>
      </c>
      <c r="S67" s="52" t="b">
        <f t="shared" ref="S67:S130" si="12">IF(AND($C67="Упр", $C68="1s"), I68)</f>
        <v>0</v>
      </c>
      <c r="T67" s="52" t="b">
        <f t="shared" ref="T67:T130" si="13">IF(AND($C67="Упр", $C68="1s"), E67)</f>
        <v>0</v>
      </c>
    </row>
    <row r="68" spans="3:20" ht="22.5" x14ac:dyDescent="0.2">
      <c r="C68" s="56" t="s">
        <v>52</v>
      </c>
      <c r="D68" s="48" t="s">
        <v>210</v>
      </c>
      <c r="E68" s="47" t="s">
        <v>211</v>
      </c>
      <c r="F68" s="47"/>
      <c r="G68" s="47"/>
      <c r="H68" s="47"/>
      <c r="I68" s="47"/>
      <c r="J68" s="47"/>
      <c r="K68" s="47"/>
      <c r="L68" s="48"/>
      <c r="M68" s="48"/>
      <c r="N68" s="52" t="str">
        <f t="shared" si="7"/>
        <v>10.2.</v>
      </c>
      <c r="O68" s="52" t="str">
        <f t="shared" si="8"/>
        <v>44.2 / 44.3</v>
      </c>
      <c r="P68" s="52" t="str">
        <f t="shared" si="9"/>
        <v>Расходы на реализацию в торговле / Управленческие расходы в торговле</v>
      </c>
      <c r="Q68" s="52">
        <f t="shared" si="10"/>
        <v>225</v>
      </c>
      <c r="R68" s="52" t="str">
        <f t="shared" si="11"/>
        <v>Доставка товаров со склада до магазина сторонним транспортом</v>
      </c>
      <c r="S68" s="52" t="str">
        <f t="shared" si="12"/>
        <v>Элементы затрат</v>
      </c>
      <c r="T68" s="52" t="str">
        <f t="shared" si="13"/>
        <v xml:space="preserve">доставка товаров со склада до магазина </v>
      </c>
    </row>
    <row r="69" spans="3:20" ht="22.5" x14ac:dyDescent="0.2">
      <c r="C69" s="56" t="s">
        <v>1087</v>
      </c>
      <c r="D69" s="61" t="s">
        <v>125</v>
      </c>
      <c r="E69" s="61"/>
      <c r="F69" s="62" t="s">
        <v>126</v>
      </c>
      <c r="G69" s="62">
        <v>225</v>
      </c>
      <c r="H69" s="62" t="s">
        <v>212</v>
      </c>
      <c r="I69" s="62" t="s">
        <v>127</v>
      </c>
      <c r="J69" s="62" t="s">
        <v>128</v>
      </c>
      <c r="K69" s="62" t="s">
        <v>129</v>
      </c>
      <c r="L69" s="72"/>
      <c r="M69" s="73"/>
      <c r="N69" s="52" t="b">
        <f t="shared" si="7"/>
        <v>0</v>
      </c>
      <c r="O69" s="52" t="b">
        <f t="shared" si="8"/>
        <v>0</v>
      </c>
      <c r="P69" s="52" t="b">
        <f t="shared" si="9"/>
        <v>0</v>
      </c>
      <c r="Q69" s="52" t="b">
        <f t="shared" si="10"/>
        <v>0</v>
      </c>
      <c r="R69" s="52" t="b">
        <f t="shared" si="11"/>
        <v>0</v>
      </c>
      <c r="S69" s="52" t="b">
        <f t="shared" si="12"/>
        <v>0</v>
      </c>
      <c r="T69" s="52" t="b">
        <f t="shared" si="13"/>
        <v>0</v>
      </c>
    </row>
    <row r="70" spans="3:20" ht="23.45" customHeight="1" x14ac:dyDescent="0.2">
      <c r="C70" s="56" t="s">
        <v>52</v>
      </c>
      <c r="D70" s="48" t="s">
        <v>213</v>
      </c>
      <c r="E70" s="47" t="s">
        <v>214</v>
      </c>
      <c r="F70" s="47"/>
      <c r="G70" s="47"/>
      <c r="H70" s="47"/>
      <c r="I70" s="47"/>
      <c r="J70" s="47"/>
      <c r="K70" s="47"/>
      <c r="L70" s="48"/>
      <c r="M70" s="48"/>
      <c r="N70" s="52" t="str">
        <f t="shared" si="7"/>
        <v>10.3.</v>
      </c>
      <c r="O70" s="52" t="str">
        <f t="shared" si="8"/>
        <v>44.2 / 44.3</v>
      </c>
      <c r="P70" s="52" t="str">
        <f t="shared" si="9"/>
        <v>Расходы на реализацию в торговле / Управленческие расходы в торговле</v>
      </c>
      <c r="Q70" s="52">
        <f t="shared" si="10"/>
        <v>256</v>
      </c>
      <c r="R70" s="52" t="str">
        <f t="shared" si="11"/>
        <v>Межфилиальные перевозки сторонним транспортом</v>
      </c>
      <c r="S70" s="52" t="str">
        <f t="shared" si="12"/>
        <v>Элементы затрат</v>
      </c>
      <c r="T70" s="52" t="str">
        <f t="shared" si="13"/>
        <v xml:space="preserve">доставка товаров между складами / магазинами </v>
      </c>
    </row>
    <row r="71" spans="3:20" ht="22.5" x14ac:dyDescent="0.2">
      <c r="C71" s="56" t="s">
        <v>1087</v>
      </c>
      <c r="D71" s="61" t="s">
        <v>125</v>
      </c>
      <c r="E71" s="61"/>
      <c r="F71" s="62" t="s">
        <v>126</v>
      </c>
      <c r="G71" s="62">
        <v>256</v>
      </c>
      <c r="H71" s="62" t="s">
        <v>215</v>
      </c>
      <c r="I71" s="62" t="s">
        <v>127</v>
      </c>
      <c r="J71" s="62" t="s">
        <v>128</v>
      </c>
      <c r="K71" s="62" t="s">
        <v>129</v>
      </c>
      <c r="L71" s="72"/>
      <c r="M71" s="73"/>
      <c r="N71" s="52" t="b">
        <f t="shared" si="7"/>
        <v>0</v>
      </c>
      <c r="O71" s="52" t="b">
        <f t="shared" si="8"/>
        <v>0</v>
      </c>
      <c r="P71" s="52" t="b">
        <f t="shared" si="9"/>
        <v>0</v>
      </c>
      <c r="Q71" s="52" t="b">
        <f t="shared" si="10"/>
        <v>0</v>
      </c>
      <c r="R71" s="52" t="b">
        <f t="shared" si="11"/>
        <v>0</v>
      </c>
      <c r="S71" s="52" t="b">
        <f t="shared" si="12"/>
        <v>0</v>
      </c>
      <c r="T71" s="52" t="b">
        <f t="shared" si="13"/>
        <v>0</v>
      </c>
    </row>
    <row r="72" spans="3:20" x14ac:dyDescent="0.2">
      <c r="C72" s="56" t="s">
        <v>52</v>
      </c>
      <c r="D72" s="74">
        <v>11</v>
      </c>
      <c r="E72" s="75" t="s">
        <v>216</v>
      </c>
      <c r="F72" s="75"/>
      <c r="G72" s="75"/>
      <c r="H72" s="75"/>
      <c r="I72" s="75"/>
      <c r="J72" s="75"/>
      <c r="K72" s="75"/>
      <c r="L72" s="76"/>
      <c r="M72" s="76" t="s">
        <v>11</v>
      </c>
      <c r="N72" s="52" t="b">
        <f t="shared" si="7"/>
        <v>0</v>
      </c>
      <c r="O72" s="52" t="b">
        <f t="shared" si="8"/>
        <v>0</v>
      </c>
      <c r="P72" s="52" t="b">
        <f t="shared" si="9"/>
        <v>0</v>
      </c>
      <c r="Q72" s="52" t="b">
        <f t="shared" si="10"/>
        <v>0</v>
      </c>
      <c r="R72" s="52" t="b">
        <f t="shared" si="11"/>
        <v>0</v>
      </c>
      <c r="S72" s="52" t="b">
        <f t="shared" si="12"/>
        <v>0</v>
      </c>
      <c r="T72" s="52" t="b">
        <f t="shared" si="13"/>
        <v>0</v>
      </c>
    </row>
    <row r="73" spans="3:20" ht="22.5" x14ac:dyDescent="0.2">
      <c r="C73" s="56" t="s">
        <v>52</v>
      </c>
      <c r="D73" s="37">
        <v>12</v>
      </c>
      <c r="E73" s="38" t="s">
        <v>217</v>
      </c>
      <c r="F73" s="38"/>
      <c r="G73" s="38"/>
      <c r="H73" s="38"/>
      <c r="I73" s="38"/>
      <c r="J73" s="38"/>
      <c r="K73" s="38"/>
      <c r="L73" s="39"/>
      <c r="M73" s="39" t="s">
        <v>218</v>
      </c>
      <c r="N73" s="52" t="b">
        <f t="shared" si="7"/>
        <v>0</v>
      </c>
      <c r="O73" s="52" t="b">
        <f t="shared" si="8"/>
        <v>0</v>
      </c>
      <c r="P73" s="52" t="b">
        <f t="shared" si="9"/>
        <v>0</v>
      </c>
      <c r="Q73" s="52" t="b">
        <f t="shared" si="10"/>
        <v>0</v>
      </c>
      <c r="R73" s="52" t="b">
        <f t="shared" si="11"/>
        <v>0</v>
      </c>
      <c r="S73" s="52" t="b">
        <f t="shared" si="12"/>
        <v>0</v>
      </c>
      <c r="T73" s="52" t="b">
        <f t="shared" si="13"/>
        <v>0</v>
      </c>
    </row>
    <row r="74" spans="3:20" x14ac:dyDescent="0.2">
      <c r="C74" s="56" t="s">
        <v>52</v>
      </c>
      <c r="D74" s="46" t="s">
        <v>219</v>
      </c>
      <c r="E74" s="47" t="s">
        <v>19</v>
      </c>
      <c r="F74" s="47"/>
      <c r="G74" s="47"/>
      <c r="H74" s="47"/>
      <c r="I74" s="47"/>
      <c r="J74" s="47"/>
      <c r="K74" s="47"/>
      <c r="L74" s="48"/>
      <c r="M74" s="48" t="s">
        <v>220</v>
      </c>
      <c r="N74" s="52" t="b">
        <f t="shared" si="7"/>
        <v>0</v>
      </c>
      <c r="O74" s="52" t="b">
        <f t="shared" si="8"/>
        <v>0</v>
      </c>
      <c r="P74" s="52" t="b">
        <f t="shared" si="9"/>
        <v>0</v>
      </c>
      <c r="Q74" s="52" t="b">
        <f t="shared" si="10"/>
        <v>0</v>
      </c>
      <c r="R74" s="52" t="b">
        <f t="shared" si="11"/>
        <v>0</v>
      </c>
      <c r="S74" s="52" t="b">
        <f t="shared" si="12"/>
        <v>0</v>
      </c>
      <c r="T74" s="52" t="b">
        <f t="shared" si="13"/>
        <v>0</v>
      </c>
    </row>
    <row r="75" spans="3:20" x14ac:dyDescent="0.2">
      <c r="C75" s="56" t="s">
        <v>52</v>
      </c>
      <c r="D75" s="37">
        <v>13</v>
      </c>
      <c r="E75" s="38" t="s">
        <v>221</v>
      </c>
      <c r="F75" s="38"/>
      <c r="G75" s="38"/>
      <c r="H75" s="38"/>
      <c r="I75" s="38"/>
      <c r="J75" s="38"/>
      <c r="K75" s="38"/>
      <c r="L75" s="39"/>
      <c r="M75" s="39" t="s">
        <v>222</v>
      </c>
      <c r="N75" s="52" t="b">
        <f t="shared" si="7"/>
        <v>0</v>
      </c>
      <c r="O75" s="52" t="b">
        <f t="shared" si="8"/>
        <v>0</v>
      </c>
      <c r="P75" s="52" t="b">
        <f t="shared" si="9"/>
        <v>0</v>
      </c>
      <c r="Q75" s="52" t="b">
        <f t="shared" si="10"/>
        <v>0</v>
      </c>
      <c r="R75" s="52" t="b">
        <f t="shared" si="11"/>
        <v>0</v>
      </c>
      <c r="S75" s="52" t="b">
        <f t="shared" si="12"/>
        <v>0</v>
      </c>
      <c r="T75" s="52" t="b">
        <f t="shared" si="13"/>
        <v>0</v>
      </c>
    </row>
    <row r="76" spans="3:20" x14ac:dyDescent="0.2">
      <c r="C76" s="56" t="s">
        <v>52</v>
      </c>
      <c r="D76" s="46" t="s">
        <v>223</v>
      </c>
      <c r="E76" s="47" t="s">
        <v>19</v>
      </c>
      <c r="F76" s="47"/>
      <c r="G76" s="47"/>
      <c r="H76" s="47"/>
      <c r="I76" s="47"/>
      <c r="J76" s="47"/>
      <c r="K76" s="47"/>
      <c r="L76" s="48"/>
      <c r="M76" s="48" t="s">
        <v>224</v>
      </c>
      <c r="N76" s="52" t="b">
        <f t="shared" si="7"/>
        <v>0</v>
      </c>
      <c r="O76" s="52" t="b">
        <f t="shared" si="8"/>
        <v>0</v>
      </c>
      <c r="P76" s="52" t="b">
        <f t="shared" si="9"/>
        <v>0</v>
      </c>
      <c r="Q76" s="52" t="b">
        <f t="shared" si="10"/>
        <v>0</v>
      </c>
      <c r="R76" s="52" t="b">
        <f t="shared" si="11"/>
        <v>0</v>
      </c>
      <c r="S76" s="52" t="b">
        <f t="shared" si="12"/>
        <v>0</v>
      </c>
      <c r="T76" s="52" t="b">
        <f t="shared" si="13"/>
        <v>0</v>
      </c>
    </row>
    <row r="77" spans="3:20" x14ac:dyDescent="0.2">
      <c r="C77" s="56" t="s">
        <v>52</v>
      </c>
      <c r="D77" s="46"/>
      <c r="E77" s="47" t="s">
        <v>112</v>
      </c>
      <c r="F77" s="47"/>
      <c r="G77" s="47"/>
      <c r="H77" s="47"/>
      <c r="I77" s="47"/>
      <c r="J77" s="47"/>
      <c r="K77" s="47"/>
      <c r="L77" s="48"/>
      <c r="M77" s="48" t="s">
        <v>225</v>
      </c>
      <c r="N77" s="52" t="b">
        <f t="shared" si="7"/>
        <v>0</v>
      </c>
      <c r="O77" s="52" t="b">
        <f t="shared" si="8"/>
        <v>0</v>
      </c>
      <c r="P77" s="52" t="b">
        <f t="shared" si="9"/>
        <v>0</v>
      </c>
      <c r="Q77" s="52" t="b">
        <f t="shared" si="10"/>
        <v>0</v>
      </c>
      <c r="R77" s="52" t="b">
        <f t="shared" si="11"/>
        <v>0</v>
      </c>
      <c r="S77" s="52" t="b">
        <f t="shared" si="12"/>
        <v>0</v>
      </c>
      <c r="T77" s="52" t="b">
        <f t="shared" si="13"/>
        <v>0</v>
      </c>
    </row>
    <row r="78" spans="3:20" ht="33.75" x14ac:dyDescent="0.2">
      <c r="C78" s="56" t="s">
        <v>52</v>
      </c>
      <c r="D78" s="37">
        <v>14</v>
      </c>
      <c r="E78" s="38" t="s">
        <v>114</v>
      </c>
      <c r="F78" s="38"/>
      <c r="G78" s="38"/>
      <c r="H78" s="38"/>
      <c r="I78" s="38"/>
      <c r="J78" s="38"/>
      <c r="K78" s="38"/>
      <c r="L78" s="39"/>
      <c r="M78" s="39" t="s">
        <v>226</v>
      </c>
      <c r="N78" s="52" t="b">
        <f t="shared" si="7"/>
        <v>0</v>
      </c>
      <c r="O78" s="52" t="b">
        <f t="shared" si="8"/>
        <v>0</v>
      </c>
      <c r="P78" s="52" t="b">
        <f t="shared" si="9"/>
        <v>0</v>
      </c>
      <c r="Q78" s="52" t="b">
        <f t="shared" si="10"/>
        <v>0</v>
      </c>
      <c r="R78" s="52" t="b">
        <f t="shared" si="11"/>
        <v>0</v>
      </c>
      <c r="S78" s="52" t="b">
        <f t="shared" si="12"/>
        <v>0</v>
      </c>
      <c r="T78" s="52" t="b">
        <f t="shared" si="13"/>
        <v>0</v>
      </c>
    </row>
    <row r="79" spans="3:20" x14ac:dyDescent="0.2">
      <c r="C79" s="56" t="s">
        <v>52</v>
      </c>
      <c r="D79" s="46" t="s">
        <v>227</v>
      </c>
      <c r="E79" s="47" t="s">
        <v>228</v>
      </c>
      <c r="F79" s="47"/>
      <c r="G79" s="47"/>
      <c r="H79" s="47"/>
      <c r="I79" s="47"/>
      <c r="J79" s="47"/>
      <c r="K79" s="47"/>
      <c r="L79" s="48"/>
      <c r="M79" s="48"/>
      <c r="N79" s="52" t="b">
        <f t="shared" si="7"/>
        <v>0</v>
      </c>
      <c r="O79" s="52" t="b">
        <f t="shared" si="8"/>
        <v>0</v>
      </c>
      <c r="P79" s="52" t="b">
        <f t="shared" si="9"/>
        <v>0</v>
      </c>
      <c r="Q79" s="52" t="b">
        <f t="shared" si="10"/>
        <v>0</v>
      </c>
      <c r="R79" s="52" t="b">
        <f t="shared" si="11"/>
        <v>0</v>
      </c>
      <c r="S79" s="52" t="b">
        <f t="shared" si="12"/>
        <v>0</v>
      </c>
      <c r="T79" s="52" t="b">
        <f t="shared" si="13"/>
        <v>0</v>
      </c>
    </row>
    <row r="80" spans="3:20" x14ac:dyDescent="0.2">
      <c r="C80" s="56" t="s">
        <v>52</v>
      </c>
      <c r="D80" s="46" t="s">
        <v>229</v>
      </c>
      <c r="E80" s="47" t="s">
        <v>139</v>
      </c>
      <c r="F80" s="47"/>
      <c r="G80" s="47"/>
      <c r="H80" s="47"/>
      <c r="I80" s="47"/>
      <c r="J80" s="47"/>
      <c r="K80" s="47"/>
      <c r="L80" s="48"/>
      <c r="M80" s="48"/>
      <c r="N80" s="52" t="b">
        <f t="shared" si="7"/>
        <v>0</v>
      </c>
      <c r="O80" s="52" t="b">
        <f t="shared" si="8"/>
        <v>0</v>
      </c>
      <c r="P80" s="52" t="b">
        <f t="shared" si="9"/>
        <v>0</v>
      </c>
      <c r="Q80" s="52" t="b">
        <f t="shared" si="10"/>
        <v>0</v>
      </c>
      <c r="R80" s="52" t="b">
        <f t="shared" si="11"/>
        <v>0</v>
      </c>
      <c r="S80" s="52" t="b">
        <f t="shared" si="12"/>
        <v>0</v>
      </c>
      <c r="T80" s="52" t="b">
        <f t="shared" si="13"/>
        <v>0</v>
      </c>
    </row>
    <row r="81" spans="3:20" x14ac:dyDescent="0.2">
      <c r="C81" s="56" t="s">
        <v>52</v>
      </c>
      <c r="D81" s="46" t="s">
        <v>230</v>
      </c>
      <c r="E81" s="47" t="s">
        <v>149</v>
      </c>
      <c r="F81" s="47"/>
      <c r="G81" s="47"/>
      <c r="H81" s="47"/>
      <c r="I81" s="47"/>
      <c r="J81" s="47"/>
      <c r="K81" s="47"/>
      <c r="L81" s="48"/>
      <c r="M81" s="48"/>
      <c r="N81" s="52" t="b">
        <f t="shared" si="7"/>
        <v>0</v>
      </c>
      <c r="O81" s="52" t="b">
        <f t="shared" si="8"/>
        <v>0</v>
      </c>
      <c r="P81" s="52" t="b">
        <f t="shared" si="9"/>
        <v>0</v>
      </c>
      <c r="Q81" s="52" t="b">
        <f t="shared" si="10"/>
        <v>0</v>
      </c>
      <c r="R81" s="52" t="b">
        <f t="shared" si="11"/>
        <v>0</v>
      </c>
      <c r="S81" s="52" t="b">
        <f t="shared" si="12"/>
        <v>0</v>
      </c>
      <c r="T81" s="52" t="b">
        <f t="shared" si="13"/>
        <v>0</v>
      </c>
    </row>
    <row r="82" spans="3:20" ht="22.5" hidden="1" x14ac:dyDescent="0.2">
      <c r="C82" s="35"/>
      <c r="D82" s="35" t="s">
        <v>98</v>
      </c>
      <c r="E82" s="35" t="s">
        <v>99</v>
      </c>
      <c r="F82" s="35" t="s">
        <v>100</v>
      </c>
      <c r="G82" s="35" t="s">
        <v>101</v>
      </c>
      <c r="H82" s="35" t="s">
        <v>102</v>
      </c>
      <c r="I82" s="35" t="s">
        <v>103</v>
      </c>
      <c r="J82" s="35" t="s">
        <v>104</v>
      </c>
      <c r="K82" s="35" t="s">
        <v>105</v>
      </c>
      <c r="L82" s="35" t="s">
        <v>106</v>
      </c>
      <c r="M82" s="35" t="s">
        <v>107</v>
      </c>
      <c r="N82" s="52" t="b">
        <f t="shared" si="7"/>
        <v>0</v>
      </c>
      <c r="O82" s="52" t="b">
        <f t="shared" si="8"/>
        <v>0</v>
      </c>
      <c r="P82" s="52" t="b">
        <f t="shared" si="9"/>
        <v>0</v>
      </c>
      <c r="Q82" s="52" t="b">
        <f t="shared" si="10"/>
        <v>0</v>
      </c>
      <c r="R82" s="52" t="b">
        <f t="shared" si="11"/>
        <v>0</v>
      </c>
      <c r="S82" s="52" t="b">
        <f t="shared" si="12"/>
        <v>0</v>
      </c>
      <c r="T82" s="52" t="b">
        <f t="shared" si="13"/>
        <v>0</v>
      </c>
    </row>
    <row r="83" spans="3:20" ht="22.5" x14ac:dyDescent="0.2">
      <c r="C83" s="36" t="s">
        <v>52</v>
      </c>
      <c r="D83" s="37">
        <v>15</v>
      </c>
      <c r="E83" s="38" t="s">
        <v>231</v>
      </c>
      <c r="F83" s="38"/>
      <c r="G83" s="38"/>
      <c r="H83" s="38"/>
      <c r="I83" s="38"/>
      <c r="J83" s="38"/>
      <c r="K83" s="38"/>
      <c r="L83" s="39"/>
      <c r="M83" s="38" t="s">
        <v>232</v>
      </c>
      <c r="N83" s="52" t="b">
        <f t="shared" si="7"/>
        <v>0</v>
      </c>
      <c r="O83" s="52" t="b">
        <f t="shared" si="8"/>
        <v>0</v>
      </c>
      <c r="P83" s="52" t="b">
        <f t="shared" si="9"/>
        <v>0</v>
      </c>
      <c r="Q83" s="52" t="b">
        <f t="shared" si="10"/>
        <v>0</v>
      </c>
      <c r="R83" s="52" t="b">
        <f t="shared" si="11"/>
        <v>0</v>
      </c>
      <c r="S83" s="52" t="b">
        <f t="shared" si="12"/>
        <v>0</v>
      </c>
      <c r="T83" s="52" t="b">
        <f t="shared" si="13"/>
        <v>0</v>
      </c>
    </row>
    <row r="84" spans="3:20" x14ac:dyDescent="0.2">
      <c r="C84" s="36" t="s">
        <v>52</v>
      </c>
      <c r="D84" s="46"/>
      <c r="E84" s="47" t="s">
        <v>19</v>
      </c>
      <c r="F84" s="47"/>
      <c r="G84" s="47"/>
      <c r="H84" s="47"/>
      <c r="I84" s="47"/>
      <c r="J84" s="47"/>
      <c r="K84" s="47"/>
      <c r="L84" s="48"/>
      <c r="M84" s="48" t="s">
        <v>233</v>
      </c>
      <c r="N84" s="52" t="b">
        <f t="shared" si="7"/>
        <v>0</v>
      </c>
      <c r="O84" s="52" t="b">
        <f t="shared" si="8"/>
        <v>0</v>
      </c>
      <c r="P84" s="52" t="b">
        <f t="shared" si="9"/>
        <v>0</v>
      </c>
      <c r="Q84" s="52" t="b">
        <f t="shared" si="10"/>
        <v>0</v>
      </c>
      <c r="R84" s="52" t="b">
        <f t="shared" si="11"/>
        <v>0</v>
      </c>
      <c r="S84" s="52" t="b">
        <f t="shared" si="12"/>
        <v>0</v>
      </c>
      <c r="T84" s="52" t="b">
        <f t="shared" si="13"/>
        <v>0</v>
      </c>
    </row>
    <row r="85" spans="3:20" x14ac:dyDescent="0.2">
      <c r="C85" s="36" t="s">
        <v>52</v>
      </c>
      <c r="D85" s="46"/>
      <c r="E85" s="47" t="s">
        <v>112</v>
      </c>
      <c r="F85" s="47"/>
      <c r="G85" s="47"/>
      <c r="H85" s="47"/>
      <c r="I85" s="47"/>
      <c r="J85" s="47"/>
      <c r="K85" s="47"/>
      <c r="L85" s="48"/>
      <c r="M85" s="48" t="s">
        <v>234</v>
      </c>
      <c r="N85" s="52" t="b">
        <f t="shared" si="7"/>
        <v>0</v>
      </c>
      <c r="O85" s="52" t="b">
        <f t="shared" si="8"/>
        <v>0</v>
      </c>
      <c r="P85" s="52" t="b">
        <f t="shared" si="9"/>
        <v>0</v>
      </c>
      <c r="Q85" s="52" t="b">
        <f t="shared" si="10"/>
        <v>0</v>
      </c>
      <c r="R85" s="52" t="b">
        <f t="shared" si="11"/>
        <v>0</v>
      </c>
      <c r="S85" s="52" t="b">
        <f t="shared" si="12"/>
        <v>0</v>
      </c>
      <c r="T85" s="52" t="b">
        <f t="shared" si="13"/>
        <v>0</v>
      </c>
    </row>
    <row r="86" spans="3:20" x14ac:dyDescent="0.2">
      <c r="C86" s="36" t="s">
        <v>52</v>
      </c>
      <c r="D86" s="46" t="s">
        <v>235</v>
      </c>
      <c r="E86" s="47" t="s">
        <v>236</v>
      </c>
      <c r="F86" s="47"/>
      <c r="G86" s="47"/>
      <c r="H86" s="47"/>
      <c r="I86" s="47"/>
      <c r="J86" s="47"/>
      <c r="K86" s="47"/>
      <c r="L86" s="48"/>
      <c r="M86" s="48"/>
      <c r="N86" s="52" t="b">
        <f t="shared" si="7"/>
        <v>0</v>
      </c>
      <c r="O86" s="52" t="b">
        <f t="shared" si="8"/>
        <v>0</v>
      </c>
      <c r="P86" s="52" t="b">
        <f t="shared" si="9"/>
        <v>0</v>
      </c>
      <c r="Q86" s="52" t="b">
        <f t="shared" si="10"/>
        <v>0</v>
      </c>
      <c r="R86" s="52" t="b">
        <f t="shared" si="11"/>
        <v>0</v>
      </c>
      <c r="S86" s="52" t="b">
        <f t="shared" si="12"/>
        <v>0</v>
      </c>
      <c r="T86" s="52" t="b">
        <f t="shared" si="13"/>
        <v>0</v>
      </c>
    </row>
    <row r="87" spans="3:20" ht="22.5" x14ac:dyDescent="0.2">
      <c r="C87" s="36" t="s">
        <v>52</v>
      </c>
      <c r="D87" s="46" t="s">
        <v>237</v>
      </c>
      <c r="E87" s="47" t="s">
        <v>238</v>
      </c>
      <c r="F87" s="47"/>
      <c r="G87" s="47"/>
      <c r="H87" s="47"/>
      <c r="I87" s="47"/>
      <c r="J87" s="47"/>
      <c r="K87" s="47"/>
      <c r="L87" s="48"/>
      <c r="M87" s="48"/>
      <c r="N87" s="52" t="str">
        <f t="shared" si="7"/>
        <v>15.1.1.</v>
      </c>
      <c r="O87" s="52" t="str">
        <f t="shared" si="8"/>
        <v>44.2 / 44.3</v>
      </c>
      <c r="P87" s="52" t="str">
        <f t="shared" si="9"/>
        <v>Расходы на реализацию в торговле / Управленческие расходы в торговле</v>
      </c>
      <c r="Q87" s="52">
        <f t="shared" si="10"/>
        <v>196</v>
      </c>
      <c r="R87" s="52" t="str">
        <f t="shared" si="11"/>
        <v>ГСМ арендованного автотранспорта</v>
      </c>
      <c r="S87" s="52" t="str">
        <f t="shared" si="12"/>
        <v>Элементы затрат</v>
      </c>
      <c r="T87" s="52" t="str">
        <f t="shared" si="13"/>
        <v>ГСМ арендованного автотранспорта</v>
      </c>
    </row>
    <row r="88" spans="3:20" ht="22.5" x14ac:dyDescent="0.2">
      <c r="C88" s="56" t="s">
        <v>1087</v>
      </c>
      <c r="D88" s="61" t="s">
        <v>125</v>
      </c>
      <c r="E88" s="61"/>
      <c r="F88" s="62" t="s">
        <v>126</v>
      </c>
      <c r="G88" s="62">
        <v>196</v>
      </c>
      <c r="H88" s="62" t="s">
        <v>238</v>
      </c>
      <c r="I88" s="62" t="s">
        <v>127</v>
      </c>
      <c r="J88" s="62" t="s">
        <v>128</v>
      </c>
      <c r="K88" s="62" t="s">
        <v>129</v>
      </c>
      <c r="L88" s="72"/>
      <c r="M88" s="73"/>
      <c r="N88" s="52" t="b">
        <f t="shared" si="7"/>
        <v>0</v>
      </c>
      <c r="O88" s="52" t="b">
        <f t="shared" si="8"/>
        <v>0</v>
      </c>
      <c r="P88" s="52" t="b">
        <f t="shared" si="9"/>
        <v>0</v>
      </c>
      <c r="Q88" s="52" t="b">
        <f t="shared" si="10"/>
        <v>0</v>
      </c>
      <c r="R88" s="52" t="b">
        <f t="shared" si="11"/>
        <v>0</v>
      </c>
      <c r="S88" s="52" t="b">
        <f t="shared" si="12"/>
        <v>0</v>
      </c>
      <c r="T88" s="52" t="b">
        <f t="shared" si="13"/>
        <v>0</v>
      </c>
    </row>
    <row r="89" spans="3:20" x14ac:dyDescent="0.2">
      <c r="C89" s="36" t="s">
        <v>52</v>
      </c>
      <c r="D89" s="46" t="s">
        <v>239</v>
      </c>
      <c r="E89" s="47" t="s">
        <v>240</v>
      </c>
      <c r="F89" s="47"/>
      <c r="G89" s="47"/>
      <c r="H89" s="47"/>
      <c r="I89" s="47"/>
      <c r="J89" s="47"/>
      <c r="K89" s="47"/>
      <c r="L89" s="48"/>
      <c r="M89" s="48"/>
      <c r="N89" s="52" t="str">
        <f t="shared" si="7"/>
        <v>15.1.2.</v>
      </c>
      <c r="O89" s="52" t="str">
        <f t="shared" si="8"/>
        <v>44.2 / 44.3</v>
      </c>
      <c r="P89" s="52" t="str">
        <f t="shared" si="9"/>
        <v>Расходы на реализацию в торговле / Управленческие расходы в торговле</v>
      </c>
      <c r="Q89" s="52">
        <f t="shared" si="10"/>
        <v>197</v>
      </c>
      <c r="R89" s="52" t="str">
        <f t="shared" si="11"/>
        <v>ГСМ собственного автотранспорта</v>
      </c>
      <c r="S89" s="52" t="str">
        <f t="shared" si="12"/>
        <v>Элементы затрат</v>
      </c>
      <c r="T89" s="52" t="str">
        <f t="shared" si="13"/>
        <v>ГСМ собственного автотранспорта</v>
      </c>
    </row>
    <row r="90" spans="3:20" ht="22.5" x14ac:dyDescent="0.2">
      <c r="C90" s="56" t="s">
        <v>1087</v>
      </c>
      <c r="D90" s="61" t="s">
        <v>125</v>
      </c>
      <c r="E90" s="61"/>
      <c r="F90" s="62" t="s">
        <v>126</v>
      </c>
      <c r="G90" s="62">
        <v>197</v>
      </c>
      <c r="H90" s="62" t="s">
        <v>240</v>
      </c>
      <c r="I90" s="62" t="s">
        <v>127</v>
      </c>
      <c r="J90" s="62" t="s">
        <v>128</v>
      </c>
      <c r="K90" s="62" t="s">
        <v>129</v>
      </c>
      <c r="L90" s="72"/>
      <c r="M90" s="73"/>
      <c r="N90" s="52" t="b">
        <f t="shared" si="7"/>
        <v>0</v>
      </c>
      <c r="O90" s="52" t="b">
        <f t="shared" si="8"/>
        <v>0</v>
      </c>
      <c r="P90" s="52" t="b">
        <f t="shared" si="9"/>
        <v>0</v>
      </c>
      <c r="Q90" s="52" t="b">
        <f t="shared" si="10"/>
        <v>0</v>
      </c>
      <c r="R90" s="52" t="b">
        <f t="shared" si="11"/>
        <v>0</v>
      </c>
      <c r="S90" s="52" t="b">
        <f t="shared" si="12"/>
        <v>0</v>
      </c>
      <c r="T90" s="52" t="b">
        <f t="shared" si="13"/>
        <v>0</v>
      </c>
    </row>
    <row r="91" spans="3:20" x14ac:dyDescent="0.2">
      <c r="C91" s="36" t="s">
        <v>52</v>
      </c>
      <c r="D91" s="46" t="s">
        <v>241</v>
      </c>
      <c r="E91" s="47" t="s">
        <v>242</v>
      </c>
      <c r="F91" s="47"/>
      <c r="G91" s="47"/>
      <c r="H91" s="47"/>
      <c r="I91" s="47"/>
      <c r="J91" s="47"/>
      <c r="K91" s="47"/>
      <c r="L91" s="48"/>
      <c r="M91" s="48"/>
      <c r="N91" s="52" t="str">
        <f t="shared" si="7"/>
        <v>15.1.3.</v>
      </c>
      <c r="O91" s="52" t="str">
        <f t="shared" si="8"/>
        <v>90.10.1 / 90.10.11</v>
      </c>
      <c r="P91" s="52" t="str">
        <f t="shared" si="9"/>
        <v>Прочие расходы по текущей деятельности / -||- (по местам хранения)</v>
      </c>
      <c r="Q91" s="52">
        <f t="shared" si="10"/>
        <v>103</v>
      </c>
      <c r="R91" s="52" t="str">
        <f t="shared" si="11"/>
        <v>Расходы НС</v>
      </c>
      <c r="S91" s="52" t="str">
        <f t="shared" si="12"/>
        <v>Виды прочих расходов</v>
      </c>
      <c r="T91" s="52" t="str">
        <f t="shared" si="13"/>
        <v>Расходы НС</v>
      </c>
    </row>
    <row r="92" spans="3:20" ht="33.75" x14ac:dyDescent="0.2">
      <c r="C92" s="56" t="s">
        <v>1087</v>
      </c>
      <c r="D92" s="62" t="s">
        <v>132</v>
      </c>
      <c r="E92" s="62"/>
      <c r="F92" s="62" t="s">
        <v>133</v>
      </c>
      <c r="G92" s="62">
        <v>103</v>
      </c>
      <c r="H92" s="62" t="s">
        <v>242</v>
      </c>
      <c r="I92" s="62" t="s">
        <v>134</v>
      </c>
      <c r="J92" s="62" t="s">
        <v>135</v>
      </c>
      <c r="K92" s="62"/>
      <c r="L92" s="72"/>
      <c r="M92" s="73"/>
      <c r="N92" s="52" t="b">
        <f t="shared" si="7"/>
        <v>0</v>
      </c>
      <c r="O92" s="52" t="b">
        <f t="shared" si="8"/>
        <v>0</v>
      </c>
      <c r="P92" s="52" t="b">
        <f t="shared" si="9"/>
        <v>0</v>
      </c>
      <c r="Q92" s="52" t="b">
        <f t="shared" si="10"/>
        <v>0</v>
      </c>
      <c r="R92" s="52" t="b">
        <f t="shared" si="11"/>
        <v>0</v>
      </c>
      <c r="S92" s="52" t="b">
        <f t="shared" si="12"/>
        <v>0</v>
      </c>
      <c r="T92" s="52" t="b">
        <f t="shared" si="13"/>
        <v>0</v>
      </c>
    </row>
    <row r="93" spans="3:20" x14ac:dyDescent="0.2">
      <c r="C93" s="36" t="s">
        <v>52</v>
      </c>
      <c r="D93" s="46" t="s">
        <v>243</v>
      </c>
      <c r="E93" s="47" t="s">
        <v>244</v>
      </c>
      <c r="F93" s="47"/>
      <c r="G93" s="47"/>
      <c r="H93" s="47"/>
      <c r="I93" s="47"/>
      <c r="J93" s="47"/>
      <c r="K93" s="47"/>
      <c r="L93" s="48"/>
      <c r="M93" s="48"/>
      <c r="N93" s="52" t="str">
        <f t="shared" si="7"/>
        <v>15.1.4.</v>
      </c>
      <c r="O93" s="52" t="str">
        <f t="shared" si="8"/>
        <v>90.10.1 / 90.10.11</v>
      </c>
      <c r="P93" s="52" t="str">
        <f t="shared" si="9"/>
        <v>Прочие расходы по текущей деятельности / -||- (по местам хранения)</v>
      </c>
      <c r="Q93" s="52">
        <f t="shared" si="10"/>
        <v>64</v>
      </c>
      <c r="R93" s="52" t="str">
        <f t="shared" si="11"/>
        <v>Списание ГСМ, н/у при н/о</v>
      </c>
      <c r="S93" s="52" t="str">
        <f t="shared" si="12"/>
        <v>Виды прочих расходов</v>
      </c>
      <c r="T93" s="52" t="str">
        <f t="shared" si="13"/>
        <v>Списание ГСМ, н/у при н/о</v>
      </c>
    </row>
    <row r="94" spans="3:20" ht="33.75" x14ac:dyDescent="0.2">
      <c r="C94" s="56" t="s">
        <v>1087</v>
      </c>
      <c r="D94" s="62" t="s">
        <v>132</v>
      </c>
      <c r="E94" s="62"/>
      <c r="F94" s="62" t="s">
        <v>133</v>
      </c>
      <c r="G94" s="62">
        <v>64</v>
      </c>
      <c r="H94" s="62" t="s">
        <v>244</v>
      </c>
      <c r="I94" s="62" t="s">
        <v>134</v>
      </c>
      <c r="J94" s="62" t="s">
        <v>135</v>
      </c>
      <c r="K94" s="62"/>
      <c r="L94" s="72"/>
      <c r="M94" s="73"/>
      <c r="N94" s="52" t="b">
        <f t="shared" si="7"/>
        <v>0</v>
      </c>
      <c r="O94" s="52" t="b">
        <f t="shared" si="8"/>
        <v>0</v>
      </c>
      <c r="P94" s="52" t="b">
        <f t="shared" si="9"/>
        <v>0</v>
      </c>
      <c r="Q94" s="52" t="b">
        <f t="shared" si="10"/>
        <v>0</v>
      </c>
      <c r="R94" s="52" t="b">
        <f t="shared" si="11"/>
        <v>0</v>
      </c>
      <c r="S94" s="52" t="b">
        <f t="shared" si="12"/>
        <v>0</v>
      </c>
      <c r="T94" s="52" t="b">
        <f t="shared" si="13"/>
        <v>0</v>
      </c>
    </row>
    <row r="95" spans="3:20" ht="22.5" x14ac:dyDescent="0.2">
      <c r="C95" s="36" t="s">
        <v>52</v>
      </c>
      <c r="D95" s="46" t="s">
        <v>245</v>
      </c>
      <c r="E95" s="47" t="s">
        <v>246</v>
      </c>
      <c r="F95" s="47"/>
      <c r="G95" s="47"/>
      <c r="H95" s="47"/>
      <c r="I95" s="47"/>
      <c r="J95" s="47"/>
      <c r="K95" s="47"/>
      <c r="L95" s="48"/>
      <c r="M95" s="48"/>
      <c r="N95" s="52" t="b">
        <f t="shared" si="7"/>
        <v>0</v>
      </c>
      <c r="O95" s="52" t="b">
        <f t="shared" si="8"/>
        <v>0</v>
      </c>
      <c r="P95" s="52" t="b">
        <f t="shared" si="9"/>
        <v>0</v>
      </c>
      <c r="Q95" s="52" t="b">
        <f t="shared" si="10"/>
        <v>0</v>
      </c>
      <c r="R95" s="52" t="b">
        <f t="shared" si="11"/>
        <v>0</v>
      </c>
      <c r="S95" s="52" t="b">
        <f t="shared" si="12"/>
        <v>0</v>
      </c>
      <c r="T95" s="52" t="b">
        <f t="shared" si="13"/>
        <v>0</v>
      </c>
    </row>
    <row r="96" spans="3:20" ht="22.5" x14ac:dyDescent="0.2">
      <c r="C96" s="36" t="s">
        <v>52</v>
      </c>
      <c r="D96" s="46" t="s">
        <v>247</v>
      </c>
      <c r="E96" s="47" t="s">
        <v>248</v>
      </c>
      <c r="F96" s="47"/>
      <c r="G96" s="47"/>
      <c r="H96" s="47"/>
      <c r="I96" s="47"/>
      <c r="J96" s="47"/>
      <c r="K96" s="47"/>
      <c r="L96" s="48"/>
      <c r="M96" s="48"/>
      <c r="N96" s="52" t="str">
        <f t="shared" si="7"/>
        <v>15.2.1.</v>
      </c>
      <c r="O96" s="52" t="str">
        <f t="shared" si="8"/>
        <v>44.2 / 44.3</v>
      </c>
      <c r="P96" s="52" t="str">
        <f t="shared" si="9"/>
        <v>Расходы на реализацию в торговле / Управленческие расходы в торговле</v>
      </c>
      <c r="Q96" s="52">
        <f t="shared" si="10"/>
        <v>205</v>
      </c>
      <c r="R96" s="52" t="str">
        <f t="shared" si="11"/>
        <v>Техобслуживание и ремонт арендованного автотранспорта</v>
      </c>
      <c r="S96" s="52" t="str">
        <f t="shared" si="12"/>
        <v>Элементы затрат</v>
      </c>
      <c r="T96" s="52" t="str">
        <f t="shared" si="13"/>
        <v>Техобслуживание и ремонт арендованного автотранспорта</v>
      </c>
    </row>
    <row r="97" spans="3:20" ht="22.5" x14ac:dyDescent="0.2">
      <c r="C97" s="56" t="s">
        <v>1087</v>
      </c>
      <c r="D97" s="61" t="s">
        <v>125</v>
      </c>
      <c r="E97" s="61"/>
      <c r="F97" s="62" t="s">
        <v>126</v>
      </c>
      <c r="G97" s="62">
        <v>205</v>
      </c>
      <c r="H97" s="62" t="s">
        <v>248</v>
      </c>
      <c r="I97" s="62" t="s">
        <v>127</v>
      </c>
      <c r="J97" s="62" t="s">
        <v>128</v>
      </c>
      <c r="K97" s="62" t="s">
        <v>129</v>
      </c>
      <c r="L97" s="72"/>
      <c r="M97" s="73"/>
      <c r="N97" s="52" t="b">
        <f t="shared" si="7"/>
        <v>0</v>
      </c>
      <c r="O97" s="52" t="b">
        <f t="shared" si="8"/>
        <v>0</v>
      </c>
      <c r="P97" s="52" t="b">
        <f t="shared" si="9"/>
        <v>0</v>
      </c>
      <c r="Q97" s="52" t="b">
        <f t="shared" si="10"/>
        <v>0</v>
      </c>
      <c r="R97" s="52" t="b">
        <f t="shared" si="11"/>
        <v>0</v>
      </c>
      <c r="S97" s="52" t="b">
        <f t="shared" si="12"/>
        <v>0</v>
      </c>
      <c r="T97" s="52" t="b">
        <f t="shared" si="13"/>
        <v>0</v>
      </c>
    </row>
    <row r="98" spans="3:20" ht="22.5" x14ac:dyDescent="0.2">
      <c r="C98" s="36" t="s">
        <v>52</v>
      </c>
      <c r="D98" s="46" t="s">
        <v>249</v>
      </c>
      <c r="E98" s="47" t="s">
        <v>250</v>
      </c>
      <c r="F98" s="47"/>
      <c r="G98" s="47"/>
      <c r="H98" s="47"/>
      <c r="I98" s="47"/>
      <c r="J98" s="47"/>
      <c r="K98" s="47"/>
      <c r="L98" s="48"/>
      <c r="M98" s="48"/>
      <c r="N98" s="52" t="str">
        <f t="shared" si="7"/>
        <v>15.2.2.</v>
      </c>
      <c r="O98" s="52" t="str">
        <f t="shared" si="8"/>
        <v>44.2 / 44.3</v>
      </c>
      <c r="P98" s="52" t="str">
        <f t="shared" si="9"/>
        <v>Расходы на реализацию в торговле / Управленческие расходы в торговле</v>
      </c>
      <c r="Q98" s="52">
        <f t="shared" si="10"/>
        <v>206</v>
      </c>
      <c r="R98" s="52" t="str">
        <f t="shared" si="11"/>
        <v>Техобслуживание и ремонт собственного автотранспорта</v>
      </c>
      <c r="S98" s="52" t="str">
        <f t="shared" si="12"/>
        <v>Элементы затрат</v>
      </c>
      <c r="T98" s="52" t="str">
        <f t="shared" si="13"/>
        <v>Техобслуживание и ремонт собственного автотранспорта</v>
      </c>
    </row>
    <row r="99" spans="3:20" ht="22.5" x14ac:dyDescent="0.2">
      <c r="C99" s="56" t="s">
        <v>1087</v>
      </c>
      <c r="D99" s="61" t="s">
        <v>125</v>
      </c>
      <c r="E99" s="61"/>
      <c r="F99" s="62" t="s">
        <v>126</v>
      </c>
      <c r="G99" s="62">
        <v>206</v>
      </c>
      <c r="H99" s="62" t="s">
        <v>250</v>
      </c>
      <c r="I99" s="62" t="s">
        <v>127</v>
      </c>
      <c r="J99" s="62" t="s">
        <v>128</v>
      </c>
      <c r="K99" s="62" t="s">
        <v>129</v>
      </c>
      <c r="L99" s="72"/>
      <c r="M99" s="73"/>
      <c r="N99" s="52" t="b">
        <f t="shared" si="7"/>
        <v>0</v>
      </c>
      <c r="O99" s="52" t="b">
        <f t="shared" si="8"/>
        <v>0</v>
      </c>
      <c r="P99" s="52" t="b">
        <f t="shared" si="9"/>
        <v>0</v>
      </c>
      <c r="Q99" s="52" t="b">
        <f t="shared" si="10"/>
        <v>0</v>
      </c>
      <c r="R99" s="52" t="b">
        <f t="shared" si="11"/>
        <v>0</v>
      </c>
      <c r="S99" s="52" t="b">
        <f t="shared" si="12"/>
        <v>0</v>
      </c>
      <c r="T99" s="52" t="b">
        <f t="shared" si="13"/>
        <v>0</v>
      </c>
    </row>
    <row r="100" spans="3:20" ht="22.5" x14ac:dyDescent="0.2">
      <c r="C100" s="36" t="s">
        <v>52</v>
      </c>
      <c r="D100" s="40" t="s">
        <v>251</v>
      </c>
      <c r="E100" s="41" t="s">
        <v>252</v>
      </c>
      <c r="F100" s="41"/>
      <c r="G100" s="41"/>
      <c r="H100" s="41"/>
      <c r="I100" s="41"/>
      <c r="J100" s="41"/>
      <c r="K100" s="41"/>
      <c r="L100" s="42"/>
      <c r="M100" s="42"/>
      <c r="N100" s="52" t="b">
        <f t="shared" si="7"/>
        <v>0</v>
      </c>
      <c r="O100" s="52" t="b">
        <f t="shared" si="8"/>
        <v>0</v>
      </c>
      <c r="P100" s="52" t="b">
        <f t="shared" si="9"/>
        <v>0</v>
      </c>
      <c r="Q100" s="52" t="b">
        <f t="shared" si="10"/>
        <v>0</v>
      </c>
      <c r="R100" s="52" t="b">
        <f t="shared" si="11"/>
        <v>0</v>
      </c>
      <c r="S100" s="52" t="b">
        <f t="shared" si="12"/>
        <v>0</v>
      </c>
      <c r="T100" s="52" t="b">
        <f t="shared" si="13"/>
        <v>0</v>
      </c>
    </row>
    <row r="101" spans="3:20" hidden="1" x14ac:dyDescent="0.2">
      <c r="C101" s="36"/>
      <c r="D101" s="62"/>
      <c r="E101" s="62"/>
      <c r="F101" s="62"/>
      <c r="G101" s="62"/>
      <c r="H101" s="62"/>
      <c r="I101" s="62"/>
      <c r="J101" s="62"/>
      <c r="K101" s="62"/>
      <c r="L101" s="72"/>
      <c r="M101" s="73"/>
      <c r="N101" s="52" t="b">
        <f t="shared" si="7"/>
        <v>0</v>
      </c>
      <c r="O101" s="52" t="b">
        <f t="shared" si="8"/>
        <v>0</v>
      </c>
      <c r="P101" s="52" t="b">
        <f t="shared" si="9"/>
        <v>0</v>
      </c>
      <c r="Q101" s="52" t="b">
        <f t="shared" si="10"/>
        <v>0</v>
      </c>
      <c r="R101" s="52" t="b">
        <f t="shared" si="11"/>
        <v>0</v>
      </c>
      <c r="S101" s="52" t="b">
        <f t="shared" si="12"/>
        <v>0</v>
      </c>
      <c r="T101" s="52" t="b">
        <f t="shared" si="13"/>
        <v>0</v>
      </c>
    </row>
    <row r="102" spans="3:20" hidden="1" x14ac:dyDescent="0.2">
      <c r="C102" s="36"/>
      <c r="D102" s="62"/>
      <c r="E102" s="62"/>
      <c r="F102" s="62"/>
      <c r="G102" s="62"/>
      <c r="H102" s="62"/>
      <c r="I102" s="62"/>
      <c r="J102" s="62"/>
      <c r="K102" s="62"/>
      <c r="L102" s="72"/>
      <c r="M102" s="73"/>
      <c r="N102" s="52" t="b">
        <f t="shared" si="7"/>
        <v>0</v>
      </c>
      <c r="O102" s="52" t="b">
        <f t="shared" si="8"/>
        <v>0</v>
      </c>
      <c r="P102" s="52" t="b">
        <f t="shared" si="9"/>
        <v>0</v>
      </c>
      <c r="Q102" s="52" t="b">
        <f t="shared" si="10"/>
        <v>0</v>
      </c>
      <c r="R102" s="52" t="b">
        <f t="shared" si="11"/>
        <v>0</v>
      </c>
      <c r="S102" s="52" t="b">
        <f t="shared" si="12"/>
        <v>0</v>
      </c>
      <c r="T102" s="52" t="b">
        <f t="shared" si="13"/>
        <v>0</v>
      </c>
    </row>
    <row r="103" spans="3:20" x14ac:dyDescent="0.2">
      <c r="C103" s="36" t="s">
        <v>52</v>
      </c>
      <c r="D103" s="40" t="s">
        <v>253</v>
      </c>
      <c r="E103" s="41" t="s">
        <v>254</v>
      </c>
      <c r="F103" s="41"/>
      <c r="G103" s="41"/>
      <c r="H103" s="41"/>
      <c r="I103" s="41"/>
      <c r="J103" s="41"/>
      <c r="K103" s="41"/>
      <c r="L103" s="42"/>
      <c r="M103" s="42"/>
      <c r="N103" s="52" t="b">
        <f t="shared" si="7"/>
        <v>0</v>
      </c>
      <c r="O103" s="52" t="b">
        <f t="shared" si="8"/>
        <v>0</v>
      </c>
      <c r="P103" s="52" t="b">
        <f t="shared" si="9"/>
        <v>0</v>
      </c>
      <c r="Q103" s="52" t="b">
        <f t="shared" si="10"/>
        <v>0</v>
      </c>
      <c r="R103" s="52" t="b">
        <f t="shared" si="11"/>
        <v>0</v>
      </c>
      <c r="S103" s="52" t="b">
        <f t="shared" si="12"/>
        <v>0</v>
      </c>
      <c r="T103" s="52" t="b">
        <f t="shared" si="13"/>
        <v>0</v>
      </c>
    </row>
    <row r="104" spans="3:20" hidden="1" x14ac:dyDescent="0.2">
      <c r="C104" s="36"/>
      <c r="D104" s="62"/>
      <c r="E104" s="62"/>
      <c r="F104" s="62"/>
      <c r="G104" s="62"/>
      <c r="H104" s="62"/>
      <c r="I104" s="62"/>
      <c r="J104" s="62"/>
      <c r="K104" s="62"/>
      <c r="L104" s="72"/>
      <c r="M104" s="73"/>
      <c r="N104" s="52" t="b">
        <f t="shared" si="7"/>
        <v>0</v>
      </c>
      <c r="O104" s="52" t="b">
        <f t="shared" si="8"/>
        <v>0</v>
      </c>
      <c r="P104" s="52" t="b">
        <f t="shared" si="9"/>
        <v>0</v>
      </c>
      <c r="Q104" s="52" t="b">
        <f t="shared" si="10"/>
        <v>0</v>
      </c>
      <c r="R104" s="52" t="b">
        <f t="shared" si="11"/>
        <v>0</v>
      </c>
      <c r="S104" s="52" t="b">
        <f t="shared" si="12"/>
        <v>0</v>
      </c>
      <c r="T104" s="52" t="b">
        <f t="shared" si="13"/>
        <v>0</v>
      </c>
    </row>
    <row r="105" spans="3:20" hidden="1" x14ac:dyDescent="0.2">
      <c r="C105" s="36"/>
      <c r="D105" s="62"/>
      <c r="E105" s="62"/>
      <c r="F105" s="62"/>
      <c r="G105" s="62"/>
      <c r="H105" s="62"/>
      <c r="I105" s="62"/>
      <c r="J105" s="62"/>
      <c r="K105" s="62"/>
      <c r="L105" s="72"/>
      <c r="M105" s="73"/>
      <c r="N105" s="52" t="b">
        <f t="shared" si="7"/>
        <v>0</v>
      </c>
      <c r="O105" s="52" t="b">
        <f t="shared" si="8"/>
        <v>0</v>
      </c>
      <c r="P105" s="52" t="b">
        <f t="shared" si="9"/>
        <v>0</v>
      </c>
      <c r="Q105" s="52" t="b">
        <f t="shared" si="10"/>
        <v>0</v>
      </c>
      <c r="R105" s="52" t="b">
        <f t="shared" si="11"/>
        <v>0</v>
      </c>
      <c r="S105" s="52" t="b">
        <f t="shared" si="12"/>
        <v>0</v>
      </c>
      <c r="T105" s="52" t="b">
        <f t="shared" si="13"/>
        <v>0</v>
      </c>
    </row>
    <row r="106" spans="3:20" x14ac:dyDescent="0.2">
      <c r="C106" s="36" t="s">
        <v>52</v>
      </c>
      <c r="D106" s="40" t="s">
        <v>255</v>
      </c>
      <c r="E106" s="41" t="s">
        <v>256</v>
      </c>
      <c r="F106" s="41"/>
      <c r="G106" s="41"/>
      <c r="H106" s="41"/>
      <c r="I106" s="41"/>
      <c r="J106" s="41"/>
      <c r="K106" s="41"/>
      <c r="L106" s="42"/>
      <c r="M106" s="42"/>
      <c r="N106" s="52" t="b">
        <f t="shared" si="7"/>
        <v>0</v>
      </c>
      <c r="O106" s="52" t="b">
        <f t="shared" si="8"/>
        <v>0</v>
      </c>
      <c r="P106" s="52" t="b">
        <f t="shared" si="9"/>
        <v>0</v>
      </c>
      <c r="Q106" s="52" t="b">
        <f t="shared" si="10"/>
        <v>0</v>
      </c>
      <c r="R106" s="52" t="b">
        <f t="shared" si="11"/>
        <v>0</v>
      </c>
      <c r="S106" s="52" t="b">
        <f t="shared" si="12"/>
        <v>0</v>
      </c>
      <c r="T106" s="52" t="b">
        <f t="shared" si="13"/>
        <v>0</v>
      </c>
    </row>
    <row r="107" spans="3:20" hidden="1" x14ac:dyDescent="0.2">
      <c r="C107" s="36"/>
      <c r="D107" s="62"/>
      <c r="E107" s="62"/>
      <c r="F107" s="62"/>
      <c r="G107" s="62"/>
      <c r="H107" s="62"/>
      <c r="I107" s="62"/>
      <c r="J107" s="62"/>
      <c r="K107" s="62"/>
      <c r="L107" s="72"/>
      <c r="M107" s="73"/>
      <c r="N107" s="52" t="b">
        <f t="shared" si="7"/>
        <v>0</v>
      </c>
      <c r="O107" s="52" t="b">
        <f t="shared" si="8"/>
        <v>0</v>
      </c>
      <c r="P107" s="52" t="b">
        <f t="shared" si="9"/>
        <v>0</v>
      </c>
      <c r="Q107" s="52" t="b">
        <f t="shared" si="10"/>
        <v>0</v>
      </c>
      <c r="R107" s="52" t="b">
        <f t="shared" si="11"/>
        <v>0</v>
      </c>
      <c r="S107" s="52" t="b">
        <f t="shared" si="12"/>
        <v>0</v>
      </c>
      <c r="T107" s="52" t="b">
        <f t="shared" si="13"/>
        <v>0</v>
      </c>
    </row>
    <row r="108" spans="3:20" hidden="1" x14ac:dyDescent="0.2">
      <c r="C108" s="36"/>
      <c r="D108" s="62"/>
      <c r="E108" s="62"/>
      <c r="F108" s="62"/>
      <c r="G108" s="62"/>
      <c r="H108" s="62"/>
      <c r="I108" s="62"/>
      <c r="J108" s="62"/>
      <c r="K108" s="62"/>
      <c r="L108" s="72"/>
      <c r="M108" s="73"/>
      <c r="N108" s="52" t="b">
        <f t="shared" si="7"/>
        <v>0</v>
      </c>
      <c r="O108" s="52" t="b">
        <f t="shared" si="8"/>
        <v>0</v>
      </c>
      <c r="P108" s="52" t="b">
        <f t="shared" si="9"/>
        <v>0</v>
      </c>
      <c r="Q108" s="52" t="b">
        <f t="shared" si="10"/>
        <v>0</v>
      </c>
      <c r="R108" s="52" t="b">
        <f t="shared" si="11"/>
        <v>0</v>
      </c>
      <c r="S108" s="52" t="b">
        <f t="shared" si="12"/>
        <v>0</v>
      </c>
      <c r="T108" s="52" t="b">
        <f t="shared" si="13"/>
        <v>0</v>
      </c>
    </row>
    <row r="109" spans="3:20" ht="15.6" customHeight="1" x14ac:dyDescent="0.2">
      <c r="C109" s="36" t="s">
        <v>52</v>
      </c>
      <c r="D109" s="46" t="s">
        <v>257</v>
      </c>
      <c r="E109" s="47" t="s">
        <v>258</v>
      </c>
      <c r="F109" s="47"/>
      <c r="G109" s="47"/>
      <c r="H109" s="47"/>
      <c r="I109" s="47"/>
      <c r="J109" s="47"/>
      <c r="K109" s="47"/>
      <c r="L109" s="48"/>
      <c r="M109" s="48"/>
      <c r="N109" s="52" t="str">
        <f t="shared" si="7"/>
        <v>15.6.</v>
      </c>
      <c r="O109" s="52" t="str">
        <f t="shared" si="8"/>
        <v>44.2 / 44.3</v>
      </c>
      <c r="P109" s="52" t="str">
        <f t="shared" si="9"/>
        <v>Расходы на реализацию в торговле / Управленческие расходы в торговле</v>
      </c>
      <c r="Q109" s="52">
        <f t="shared" si="10"/>
        <v>199</v>
      </c>
      <c r="R109" s="52" t="str">
        <f t="shared" si="11"/>
        <v>Мойка и дезинфекция</v>
      </c>
      <c r="S109" s="52" t="str">
        <f t="shared" si="12"/>
        <v>Элементы затрат</v>
      </c>
      <c r="T109" s="52" t="str">
        <f t="shared" si="13"/>
        <v>Мойка и дезинфекция</v>
      </c>
    </row>
    <row r="110" spans="3:20" ht="22.5" x14ac:dyDescent="0.2">
      <c r="C110" s="56" t="s">
        <v>1087</v>
      </c>
      <c r="D110" s="61" t="s">
        <v>125</v>
      </c>
      <c r="E110" s="61"/>
      <c r="F110" s="62" t="s">
        <v>126</v>
      </c>
      <c r="G110" s="62">
        <v>199</v>
      </c>
      <c r="H110" s="62" t="s">
        <v>258</v>
      </c>
      <c r="I110" s="62" t="s">
        <v>127</v>
      </c>
      <c r="J110" s="62" t="s">
        <v>128</v>
      </c>
      <c r="K110" s="62" t="s">
        <v>129</v>
      </c>
      <c r="L110" s="72"/>
      <c r="M110" s="73"/>
      <c r="N110" s="52" t="b">
        <f t="shared" si="7"/>
        <v>0</v>
      </c>
      <c r="O110" s="52" t="b">
        <f t="shared" si="8"/>
        <v>0</v>
      </c>
      <c r="P110" s="52" t="b">
        <f t="shared" si="9"/>
        <v>0</v>
      </c>
      <c r="Q110" s="52" t="b">
        <f t="shared" si="10"/>
        <v>0</v>
      </c>
      <c r="R110" s="52" t="b">
        <f t="shared" si="11"/>
        <v>0</v>
      </c>
      <c r="S110" s="52" t="b">
        <f t="shared" si="12"/>
        <v>0</v>
      </c>
      <c r="T110" s="52" t="b">
        <f t="shared" si="13"/>
        <v>0</v>
      </c>
    </row>
    <row r="111" spans="3:20" ht="22.5" x14ac:dyDescent="0.2">
      <c r="C111" s="36" t="s">
        <v>52</v>
      </c>
      <c r="D111" s="40" t="s">
        <v>259</v>
      </c>
      <c r="E111" s="41" t="s">
        <v>260</v>
      </c>
      <c r="F111" s="41"/>
      <c r="G111" s="41"/>
      <c r="H111" s="41"/>
      <c r="I111" s="41"/>
      <c r="J111" s="41"/>
      <c r="K111" s="41"/>
      <c r="L111" s="42"/>
      <c r="M111" s="42"/>
      <c r="N111" s="52" t="b">
        <f t="shared" si="7"/>
        <v>0</v>
      </c>
      <c r="O111" s="52" t="b">
        <f t="shared" si="8"/>
        <v>0</v>
      </c>
      <c r="P111" s="52" t="b">
        <f t="shared" si="9"/>
        <v>0</v>
      </c>
      <c r="Q111" s="52" t="b">
        <f t="shared" si="10"/>
        <v>0</v>
      </c>
      <c r="R111" s="52" t="b">
        <f t="shared" si="11"/>
        <v>0</v>
      </c>
      <c r="S111" s="52" t="b">
        <f t="shared" si="12"/>
        <v>0</v>
      </c>
      <c r="T111" s="52" t="b">
        <f t="shared" si="13"/>
        <v>0</v>
      </c>
    </row>
    <row r="112" spans="3:20" hidden="1" x14ac:dyDescent="0.2">
      <c r="C112" s="36"/>
      <c r="D112" s="62"/>
      <c r="E112" s="62"/>
      <c r="F112" s="62"/>
      <c r="G112" s="62"/>
      <c r="H112" s="62"/>
      <c r="I112" s="62"/>
      <c r="J112" s="62"/>
      <c r="K112" s="62"/>
      <c r="L112" s="72"/>
      <c r="M112" s="73"/>
      <c r="N112" s="52" t="b">
        <f t="shared" si="7"/>
        <v>0</v>
      </c>
      <c r="O112" s="52" t="b">
        <f t="shared" si="8"/>
        <v>0</v>
      </c>
      <c r="P112" s="52" t="b">
        <f t="shared" si="9"/>
        <v>0</v>
      </c>
      <c r="Q112" s="52" t="b">
        <f t="shared" si="10"/>
        <v>0</v>
      </c>
      <c r="R112" s="52" t="b">
        <f t="shared" si="11"/>
        <v>0</v>
      </c>
      <c r="S112" s="52" t="b">
        <f t="shared" si="12"/>
        <v>0</v>
      </c>
      <c r="T112" s="52" t="b">
        <f t="shared" si="13"/>
        <v>0</v>
      </c>
    </row>
    <row r="113" spans="3:20" hidden="1" x14ac:dyDescent="0.2">
      <c r="C113" s="36"/>
      <c r="D113" s="62"/>
      <c r="E113" s="62"/>
      <c r="F113" s="62"/>
      <c r="G113" s="62"/>
      <c r="H113" s="62"/>
      <c r="I113" s="62"/>
      <c r="J113" s="62"/>
      <c r="K113" s="62"/>
      <c r="L113" s="72"/>
      <c r="M113" s="73"/>
      <c r="N113" s="52" t="b">
        <f t="shared" si="7"/>
        <v>0</v>
      </c>
      <c r="O113" s="52" t="b">
        <f t="shared" si="8"/>
        <v>0</v>
      </c>
      <c r="P113" s="52" t="b">
        <f t="shared" si="9"/>
        <v>0</v>
      </c>
      <c r="Q113" s="52" t="b">
        <f t="shared" si="10"/>
        <v>0</v>
      </c>
      <c r="R113" s="52" t="b">
        <f t="shared" si="11"/>
        <v>0</v>
      </c>
      <c r="S113" s="52" t="b">
        <f t="shared" si="12"/>
        <v>0</v>
      </c>
      <c r="T113" s="52" t="b">
        <f t="shared" si="13"/>
        <v>0</v>
      </c>
    </row>
    <row r="114" spans="3:20" x14ac:dyDescent="0.2">
      <c r="C114" s="36" t="s">
        <v>52</v>
      </c>
      <c r="D114" s="46" t="s">
        <v>261</v>
      </c>
      <c r="E114" s="47" t="s">
        <v>262</v>
      </c>
      <c r="F114" s="47"/>
      <c r="G114" s="47"/>
      <c r="H114" s="47"/>
      <c r="I114" s="47"/>
      <c r="J114" s="47"/>
      <c r="K114" s="47"/>
      <c r="L114" s="48"/>
      <c r="M114" s="48"/>
      <c r="N114" s="52" t="b">
        <f t="shared" si="7"/>
        <v>0</v>
      </c>
      <c r="O114" s="52" t="b">
        <f t="shared" si="8"/>
        <v>0</v>
      </c>
      <c r="P114" s="52" t="b">
        <f t="shared" si="9"/>
        <v>0</v>
      </c>
      <c r="Q114" s="52" t="b">
        <f t="shared" si="10"/>
        <v>0</v>
      </c>
      <c r="R114" s="52" t="b">
        <f t="shared" si="11"/>
        <v>0</v>
      </c>
      <c r="S114" s="52" t="b">
        <f t="shared" si="12"/>
        <v>0</v>
      </c>
      <c r="T114" s="52" t="b">
        <f t="shared" si="13"/>
        <v>0</v>
      </c>
    </row>
    <row r="115" spans="3:20" x14ac:dyDescent="0.2">
      <c r="C115" s="36" t="s">
        <v>52</v>
      </c>
      <c r="D115" s="46" t="s">
        <v>263</v>
      </c>
      <c r="E115" s="47" t="s">
        <v>264</v>
      </c>
      <c r="F115" s="47"/>
      <c r="G115" s="47"/>
      <c r="H115" s="47"/>
      <c r="I115" s="47"/>
      <c r="J115" s="47"/>
      <c r="K115" s="47"/>
      <c r="L115" s="48"/>
      <c r="M115" s="48"/>
      <c r="N115" s="52" t="str">
        <f t="shared" si="7"/>
        <v>15.8.1.</v>
      </c>
      <c r="O115" s="52" t="str">
        <f t="shared" si="8"/>
        <v>44.2 / 44.3</v>
      </c>
      <c r="P115" s="52" t="str">
        <f t="shared" si="9"/>
        <v>Расходы на реализацию в торговле / Управленческие расходы в торговле</v>
      </c>
      <c r="Q115" s="52">
        <f t="shared" si="10"/>
        <v>200</v>
      </c>
      <c r="R115" s="52" t="str">
        <f t="shared" si="11"/>
        <v>Плата за стоянки</v>
      </c>
      <c r="S115" s="52" t="str">
        <f t="shared" si="12"/>
        <v>Элементы затрат</v>
      </c>
      <c r="T115" s="52" t="str">
        <f t="shared" si="13"/>
        <v>Плата за стоянки</v>
      </c>
    </row>
    <row r="116" spans="3:20" ht="22.5" x14ac:dyDescent="0.2">
      <c r="C116" s="56" t="s">
        <v>1087</v>
      </c>
      <c r="D116" s="61" t="s">
        <v>125</v>
      </c>
      <c r="E116" s="61"/>
      <c r="F116" s="62" t="s">
        <v>126</v>
      </c>
      <c r="G116" s="62">
        <v>200</v>
      </c>
      <c r="H116" s="62" t="s">
        <v>264</v>
      </c>
      <c r="I116" s="62" t="s">
        <v>127</v>
      </c>
      <c r="J116" s="62" t="s">
        <v>128</v>
      </c>
      <c r="K116" s="62" t="s">
        <v>129</v>
      </c>
      <c r="L116" s="72"/>
      <c r="M116" s="73"/>
      <c r="N116" s="52" t="b">
        <f t="shared" si="7"/>
        <v>0</v>
      </c>
      <c r="O116" s="52" t="b">
        <f t="shared" si="8"/>
        <v>0</v>
      </c>
      <c r="P116" s="52" t="b">
        <f t="shared" si="9"/>
        <v>0</v>
      </c>
      <c r="Q116" s="52" t="b">
        <f t="shared" si="10"/>
        <v>0</v>
      </c>
      <c r="R116" s="52" t="b">
        <f t="shared" si="11"/>
        <v>0</v>
      </c>
      <c r="S116" s="52" t="b">
        <f t="shared" si="12"/>
        <v>0</v>
      </c>
      <c r="T116" s="52" t="b">
        <f t="shared" si="13"/>
        <v>0</v>
      </c>
    </row>
    <row r="117" spans="3:20" ht="22.5" x14ac:dyDescent="0.2">
      <c r="C117" s="36" t="s">
        <v>52</v>
      </c>
      <c r="D117" s="46" t="s">
        <v>265</v>
      </c>
      <c r="E117" s="47" t="s">
        <v>266</v>
      </c>
      <c r="F117" s="47"/>
      <c r="G117" s="47"/>
      <c r="H117" s="47"/>
      <c r="I117" s="47"/>
      <c r="J117" s="47"/>
      <c r="K117" s="47"/>
      <c r="L117" s="48"/>
      <c r="M117" s="48"/>
      <c r="N117" s="52" t="str">
        <f t="shared" si="7"/>
        <v>15.8.2.</v>
      </c>
      <c r="O117" s="52" t="str">
        <f t="shared" si="8"/>
        <v>44.2 / 44.3</v>
      </c>
      <c r="P117" s="52" t="str">
        <f t="shared" si="9"/>
        <v>Расходы на реализацию в торговле / Управленческие расходы в торговле</v>
      </c>
      <c r="Q117" s="52">
        <f t="shared" si="10"/>
        <v>202</v>
      </c>
      <c r="R117" s="52" t="str">
        <f t="shared" si="11"/>
        <v>Прочие расходы по содержанию транспорта</v>
      </c>
      <c r="S117" s="52" t="str">
        <f t="shared" si="12"/>
        <v>Элементы затрат</v>
      </c>
      <c r="T117" s="52" t="str">
        <f t="shared" si="13"/>
        <v>Прочие расходы по содержанию транспорта</v>
      </c>
    </row>
    <row r="118" spans="3:20" ht="22.5" x14ac:dyDescent="0.2">
      <c r="C118" s="56" t="s">
        <v>1087</v>
      </c>
      <c r="D118" s="61" t="s">
        <v>125</v>
      </c>
      <c r="E118" s="61"/>
      <c r="F118" s="62" t="s">
        <v>126</v>
      </c>
      <c r="G118" s="62">
        <v>202</v>
      </c>
      <c r="H118" s="62" t="s">
        <v>266</v>
      </c>
      <c r="I118" s="62" t="s">
        <v>127</v>
      </c>
      <c r="J118" s="62" t="s">
        <v>128</v>
      </c>
      <c r="K118" s="62" t="s">
        <v>129</v>
      </c>
      <c r="L118" s="72"/>
      <c r="M118" s="73"/>
      <c r="N118" s="52" t="b">
        <f t="shared" si="7"/>
        <v>0</v>
      </c>
      <c r="O118" s="52" t="b">
        <f t="shared" si="8"/>
        <v>0</v>
      </c>
      <c r="P118" s="52" t="b">
        <f t="shared" si="9"/>
        <v>0</v>
      </c>
      <c r="Q118" s="52" t="b">
        <f t="shared" si="10"/>
        <v>0</v>
      </c>
      <c r="R118" s="52" t="b">
        <f t="shared" si="11"/>
        <v>0</v>
      </c>
      <c r="S118" s="52" t="b">
        <f t="shared" si="12"/>
        <v>0</v>
      </c>
      <c r="T118" s="52" t="b">
        <f t="shared" si="13"/>
        <v>0</v>
      </c>
    </row>
    <row r="119" spans="3:20" ht="22.5" hidden="1" x14ac:dyDescent="0.2">
      <c r="C119" s="35"/>
      <c r="D119" s="35" t="s">
        <v>98</v>
      </c>
      <c r="E119" s="35" t="s">
        <v>99</v>
      </c>
      <c r="F119" s="35" t="s">
        <v>100</v>
      </c>
      <c r="G119" s="35" t="s">
        <v>101</v>
      </c>
      <c r="H119" s="35" t="s">
        <v>102</v>
      </c>
      <c r="I119" s="35" t="s">
        <v>103</v>
      </c>
      <c r="J119" s="35" t="s">
        <v>104</v>
      </c>
      <c r="K119" s="35" t="s">
        <v>105</v>
      </c>
      <c r="L119" s="35" t="s">
        <v>106</v>
      </c>
      <c r="M119" s="35" t="s">
        <v>107</v>
      </c>
      <c r="N119" s="52" t="b">
        <f t="shared" si="7"/>
        <v>0</v>
      </c>
      <c r="O119" s="52" t="b">
        <f t="shared" si="8"/>
        <v>0</v>
      </c>
      <c r="P119" s="52" t="b">
        <f t="shared" si="9"/>
        <v>0</v>
      </c>
      <c r="Q119" s="52" t="b">
        <f t="shared" si="10"/>
        <v>0</v>
      </c>
      <c r="R119" s="52" t="b">
        <f t="shared" si="11"/>
        <v>0</v>
      </c>
      <c r="S119" s="52" t="b">
        <f t="shared" si="12"/>
        <v>0</v>
      </c>
      <c r="T119" s="52" t="b">
        <f t="shared" si="13"/>
        <v>0</v>
      </c>
    </row>
    <row r="120" spans="3:20" x14ac:dyDescent="0.2">
      <c r="C120" s="36" t="s">
        <v>52</v>
      </c>
      <c r="D120" s="37" t="s">
        <v>267</v>
      </c>
      <c r="E120" s="38" t="s">
        <v>268</v>
      </c>
      <c r="F120" s="39" t="s">
        <v>269</v>
      </c>
      <c r="G120" s="39"/>
      <c r="H120" s="39"/>
      <c r="I120" s="39"/>
      <c r="J120" s="39"/>
      <c r="K120" s="39"/>
      <c r="L120" s="39"/>
      <c r="M120" s="39" t="s">
        <v>270</v>
      </c>
      <c r="N120" s="52" t="b">
        <f t="shared" si="7"/>
        <v>0</v>
      </c>
      <c r="O120" s="52" t="b">
        <f t="shared" si="8"/>
        <v>0</v>
      </c>
      <c r="P120" s="52" t="b">
        <f t="shared" si="9"/>
        <v>0</v>
      </c>
      <c r="Q120" s="52" t="b">
        <f t="shared" si="10"/>
        <v>0</v>
      </c>
      <c r="R120" s="52" t="b">
        <f t="shared" si="11"/>
        <v>0</v>
      </c>
      <c r="S120" s="52" t="b">
        <f t="shared" si="12"/>
        <v>0</v>
      </c>
      <c r="T120" s="52" t="b">
        <f t="shared" si="13"/>
        <v>0</v>
      </c>
    </row>
    <row r="121" spans="3:20" x14ac:dyDescent="0.2">
      <c r="C121" s="36" t="s">
        <v>52</v>
      </c>
      <c r="D121" s="46"/>
      <c r="E121" s="47" t="s">
        <v>19</v>
      </c>
      <c r="F121" s="47"/>
      <c r="G121" s="47"/>
      <c r="H121" s="47"/>
      <c r="I121" s="47"/>
      <c r="J121" s="47"/>
      <c r="K121" s="47"/>
      <c r="L121" s="48"/>
      <c r="M121" s="48" t="s">
        <v>271</v>
      </c>
      <c r="N121" s="52" t="b">
        <f t="shared" si="7"/>
        <v>0</v>
      </c>
      <c r="O121" s="52" t="b">
        <f t="shared" si="8"/>
        <v>0</v>
      </c>
      <c r="P121" s="52" t="b">
        <f t="shared" si="9"/>
        <v>0</v>
      </c>
      <c r="Q121" s="52" t="b">
        <f t="shared" si="10"/>
        <v>0</v>
      </c>
      <c r="R121" s="52" t="b">
        <f t="shared" si="11"/>
        <v>0</v>
      </c>
      <c r="S121" s="52" t="b">
        <f t="shared" si="12"/>
        <v>0</v>
      </c>
      <c r="T121" s="52" t="b">
        <f t="shared" si="13"/>
        <v>0</v>
      </c>
    </row>
    <row r="122" spans="3:20" x14ac:dyDescent="0.2">
      <c r="C122" s="36" t="s">
        <v>52</v>
      </c>
      <c r="D122" s="46"/>
      <c r="E122" s="47" t="s">
        <v>112</v>
      </c>
      <c r="F122" s="47"/>
      <c r="G122" s="47"/>
      <c r="H122" s="47"/>
      <c r="I122" s="47"/>
      <c r="J122" s="47"/>
      <c r="K122" s="47"/>
      <c r="L122" s="48"/>
      <c r="M122" s="48" t="s">
        <v>272</v>
      </c>
      <c r="N122" s="52" t="b">
        <f t="shared" si="7"/>
        <v>0</v>
      </c>
      <c r="O122" s="52" t="b">
        <f t="shared" si="8"/>
        <v>0</v>
      </c>
      <c r="P122" s="52" t="b">
        <f t="shared" si="9"/>
        <v>0</v>
      </c>
      <c r="Q122" s="52" t="b">
        <f t="shared" si="10"/>
        <v>0</v>
      </c>
      <c r="R122" s="52" t="b">
        <f t="shared" si="11"/>
        <v>0</v>
      </c>
      <c r="S122" s="52" t="b">
        <f t="shared" si="12"/>
        <v>0</v>
      </c>
      <c r="T122" s="52" t="b">
        <f t="shared" si="13"/>
        <v>0</v>
      </c>
    </row>
    <row r="123" spans="3:20" ht="22.5" x14ac:dyDescent="0.2">
      <c r="C123" s="36" t="s">
        <v>52</v>
      </c>
      <c r="D123" s="46" t="s">
        <v>273</v>
      </c>
      <c r="E123" s="47" t="s">
        <v>274</v>
      </c>
      <c r="F123" s="47"/>
      <c r="G123" s="47"/>
      <c r="H123" s="47"/>
      <c r="I123" s="47"/>
      <c r="J123" s="47"/>
      <c r="K123" s="47"/>
      <c r="L123" s="48"/>
      <c r="M123" s="77" t="s">
        <v>275</v>
      </c>
      <c r="N123" s="52" t="b">
        <f t="shared" si="7"/>
        <v>0</v>
      </c>
      <c r="O123" s="52" t="b">
        <f t="shared" si="8"/>
        <v>0</v>
      </c>
      <c r="P123" s="52" t="b">
        <f t="shared" si="9"/>
        <v>0</v>
      </c>
      <c r="Q123" s="52" t="b">
        <f t="shared" si="10"/>
        <v>0</v>
      </c>
      <c r="R123" s="52" t="b">
        <f t="shared" si="11"/>
        <v>0</v>
      </c>
      <c r="S123" s="52" t="b">
        <f t="shared" si="12"/>
        <v>0</v>
      </c>
      <c r="T123" s="52" t="b">
        <f t="shared" si="13"/>
        <v>0</v>
      </c>
    </row>
    <row r="124" spans="3:20" x14ac:dyDescent="0.2">
      <c r="C124" s="36" t="s">
        <v>52</v>
      </c>
      <c r="D124" s="46" t="s">
        <v>276</v>
      </c>
      <c r="E124" s="47" t="s">
        <v>277</v>
      </c>
      <c r="F124" s="47"/>
      <c r="G124" s="47"/>
      <c r="H124" s="47"/>
      <c r="I124" s="47"/>
      <c r="J124" s="47"/>
      <c r="K124" s="47"/>
      <c r="L124" s="48"/>
      <c r="M124" s="77"/>
      <c r="N124" s="52" t="str">
        <f t="shared" si="7"/>
        <v>16.1.1.</v>
      </c>
      <c r="O124" s="52" t="str">
        <f t="shared" si="8"/>
        <v>44.2 / 44.3</v>
      </c>
      <c r="P124" s="52" t="str">
        <f t="shared" si="9"/>
        <v>Расходы на реализацию в торговле / Управленческие расходы в торговле</v>
      </c>
      <c r="Q124" s="52">
        <f t="shared" si="10"/>
        <v>247</v>
      </c>
      <c r="R124" s="52" t="str">
        <f t="shared" si="11"/>
        <v>Электроэнергия</v>
      </c>
      <c r="S124" s="52" t="str">
        <f t="shared" si="12"/>
        <v>Элементы затрат</v>
      </c>
      <c r="T124" s="52" t="str">
        <f t="shared" si="13"/>
        <v>Электроэнергия</v>
      </c>
    </row>
    <row r="125" spans="3:20" ht="22.5" x14ac:dyDescent="0.2">
      <c r="C125" s="36" t="s">
        <v>1087</v>
      </c>
      <c r="D125" s="61" t="s">
        <v>125</v>
      </c>
      <c r="E125" s="61"/>
      <c r="F125" s="62" t="s">
        <v>126</v>
      </c>
      <c r="G125" s="62">
        <v>247</v>
      </c>
      <c r="H125" s="62" t="s">
        <v>277</v>
      </c>
      <c r="I125" s="62" t="s">
        <v>127</v>
      </c>
      <c r="J125" s="62" t="s">
        <v>128</v>
      </c>
      <c r="K125" s="62" t="s">
        <v>129</v>
      </c>
      <c r="L125" s="72"/>
      <c r="M125" s="73"/>
      <c r="N125" s="52" t="b">
        <f t="shared" si="7"/>
        <v>0</v>
      </c>
      <c r="O125" s="52" t="b">
        <f t="shared" si="8"/>
        <v>0</v>
      </c>
      <c r="P125" s="52" t="b">
        <f t="shared" si="9"/>
        <v>0</v>
      </c>
      <c r="Q125" s="52" t="b">
        <f t="shared" si="10"/>
        <v>0</v>
      </c>
      <c r="R125" s="52" t="b">
        <f t="shared" si="11"/>
        <v>0</v>
      </c>
      <c r="S125" s="52" t="b">
        <f t="shared" si="12"/>
        <v>0</v>
      </c>
      <c r="T125" s="52" t="b">
        <f t="shared" si="13"/>
        <v>0</v>
      </c>
    </row>
    <row r="126" spans="3:20" ht="22.5" x14ac:dyDescent="0.2">
      <c r="C126" s="56" t="s">
        <v>52</v>
      </c>
      <c r="D126" s="46" t="s">
        <v>279</v>
      </c>
      <c r="E126" s="47" t="s">
        <v>280</v>
      </c>
      <c r="F126" s="47"/>
      <c r="G126" s="47"/>
      <c r="H126" s="47"/>
      <c r="I126" s="47"/>
      <c r="J126" s="47"/>
      <c r="K126" s="47"/>
      <c r="L126" s="48"/>
      <c r="M126" s="77"/>
      <c r="N126" s="52" t="str">
        <f t="shared" si="7"/>
        <v>16.1.2.</v>
      </c>
      <c r="O126" s="52" t="str">
        <f t="shared" si="8"/>
        <v>44.2 / 44.3</v>
      </c>
      <c r="P126" s="52" t="str">
        <f t="shared" si="9"/>
        <v>Расходы на реализацию в торговле / Управленческие расходы в торговле</v>
      </c>
      <c r="Q126" s="52">
        <f t="shared" si="10"/>
        <v>531</v>
      </c>
      <c r="R126" s="52" t="str">
        <f t="shared" si="11"/>
        <v>Электроэнергия (отопление/подогрев)</v>
      </c>
      <c r="S126" s="52" t="str">
        <f t="shared" si="12"/>
        <v>Элементы затрат</v>
      </c>
      <c r="T126" s="52" t="str">
        <f t="shared" si="13"/>
        <v>Электроэнергия (отопление/подогрев)</v>
      </c>
    </row>
    <row r="127" spans="3:20" ht="24" customHeight="1" x14ac:dyDescent="0.2">
      <c r="C127" s="78" t="s">
        <v>1087</v>
      </c>
      <c r="D127" s="61" t="s">
        <v>125</v>
      </c>
      <c r="E127" s="61"/>
      <c r="F127" s="62" t="s">
        <v>126</v>
      </c>
      <c r="G127" s="62">
        <v>531</v>
      </c>
      <c r="H127" s="62" t="s">
        <v>280</v>
      </c>
      <c r="I127" s="62" t="s">
        <v>127</v>
      </c>
      <c r="J127" s="62" t="s">
        <v>128</v>
      </c>
      <c r="K127" s="62" t="s">
        <v>129</v>
      </c>
      <c r="L127" s="72"/>
      <c r="M127" s="73"/>
      <c r="N127" s="52" t="b">
        <f t="shared" si="7"/>
        <v>0</v>
      </c>
      <c r="O127" s="52" t="b">
        <f t="shared" si="8"/>
        <v>0</v>
      </c>
      <c r="P127" s="52" t="b">
        <f t="shared" si="9"/>
        <v>0</v>
      </c>
      <c r="Q127" s="52" t="b">
        <f t="shared" si="10"/>
        <v>0</v>
      </c>
      <c r="R127" s="52" t="b">
        <f t="shared" si="11"/>
        <v>0</v>
      </c>
      <c r="S127" s="52" t="b">
        <f t="shared" si="12"/>
        <v>0</v>
      </c>
      <c r="T127" s="52" t="b">
        <f t="shared" si="13"/>
        <v>0</v>
      </c>
    </row>
    <row r="128" spans="3:20" x14ac:dyDescent="0.2">
      <c r="C128" s="36" t="s">
        <v>52</v>
      </c>
      <c r="D128" s="46" t="s">
        <v>281</v>
      </c>
      <c r="E128" s="47" t="s">
        <v>282</v>
      </c>
      <c r="F128" s="47"/>
      <c r="G128" s="47"/>
      <c r="H128" s="47"/>
      <c r="I128" s="47"/>
      <c r="J128" s="47"/>
      <c r="K128" s="47"/>
      <c r="L128" s="65" t="s">
        <v>283</v>
      </c>
      <c r="M128" s="48" t="s">
        <v>74</v>
      </c>
      <c r="N128" s="52" t="str">
        <f t="shared" si="7"/>
        <v>16.2.</v>
      </c>
      <c r="O128" s="52" t="str">
        <f t="shared" si="8"/>
        <v>44.2 / 44.3</v>
      </c>
      <c r="P128" s="52" t="str">
        <f t="shared" si="9"/>
        <v>Расходы на реализацию в торговле / Управленческие расходы в торговле</v>
      </c>
      <c r="Q128" s="52">
        <f t="shared" si="10"/>
        <v>571</v>
      </c>
      <c r="R128" s="52" t="str">
        <f t="shared" si="11"/>
        <v xml:space="preserve"> электроэнергия собственная </v>
      </c>
      <c r="S128" s="52" t="str">
        <f t="shared" si="12"/>
        <v>Элементы затрат</v>
      </c>
      <c r="T128" s="52" t="str">
        <f t="shared" si="13"/>
        <v xml:space="preserve"> электроэнергия собственная </v>
      </c>
    </row>
    <row r="129" spans="2:20" ht="22.5" x14ac:dyDescent="0.2">
      <c r="C129" s="36" t="s">
        <v>1087</v>
      </c>
      <c r="D129" s="61" t="s">
        <v>125</v>
      </c>
      <c r="E129" s="61"/>
      <c r="F129" s="62" t="s">
        <v>126</v>
      </c>
      <c r="G129" s="62">
        <v>571</v>
      </c>
      <c r="H129" s="62" t="s">
        <v>282</v>
      </c>
      <c r="I129" s="62" t="s">
        <v>127</v>
      </c>
      <c r="J129" s="62" t="s">
        <v>128</v>
      </c>
      <c r="K129" s="62" t="s">
        <v>129</v>
      </c>
      <c r="L129" s="72"/>
      <c r="M129" s="73"/>
      <c r="N129" s="52" t="b">
        <f t="shared" si="7"/>
        <v>0</v>
      </c>
      <c r="O129" s="52" t="b">
        <f t="shared" si="8"/>
        <v>0</v>
      </c>
      <c r="P129" s="52" t="b">
        <f t="shared" si="9"/>
        <v>0</v>
      </c>
      <c r="Q129" s="52" t="b">
        <f t="shared" si="10"/>
        <v>0</v>
      </c>
      <c r="R129" s="52" t="b">
        <f t="shared" si="11"/>
        <v>0</v>
      </c>
      <c r="S129" s="52" t="b">
        <f t="shared" si="12"/>
        <v>0</v>
      </c>
      <c r="T129" s="52" t="b">
        <f t="shared" si="13"/>
        <v>0</v>
      </c>
    </row>
    <row r="130" spans="2:20" ht="22.5" x14ac:dyDescent="0.2">
      <c r="C130" s="36" t="s">
        <v>52</v>
      </c>
      <c r="D130" s="46" t="s">
        <v>284</v>
      </c>
      <c r="E130" s="47" t="s">
        <v>285</v>
      </c>
      <c r="F130" s="47"/>
      <c r="G130" s="47"/>
      <c r="H130" s="47"/>
      <c r="I130" s="47"/>
      <c r="J130" s="47"/>
      <c r="K130" s="47"/>
      <c r="L130" s="48"/>
      <c r="M130" s="77" t="s">
        <v>74</v>
      </c>
      <c r="N130" s="52" t="str">
        <f t="shared" si="7"/>
        <v>16.3.</v>
      </c>
      <c r="O130" s="52" t="str">
        <f t="shared" si="8"/>
        <v>44.2 / 44.3</v>
      </c>
      <c r="P130" s="52" t="str">
        <f t="shared" si="9"/>
        <v>Расходы на реализацию в торговле / Управленческие расходы в торговле</v>
      </c>
      <c r="Q130" s="52">
        <f t="shared" si="10"/>
        <v>570</v>
      </c>
      <c r="R130" s="52" t="str">
        <f t="shared" si="11"/>
        <v>Затраты на транзит собственной электроэнергии</v>
      </c>
      <c r="S130" s="52" t="str">
        <f t="shared" si="12"/>
        <v>Элементы затрат</v>
      </c>
      <c r="T130" s="52" t="str">
        <f t="shared" si="13"/>
        <v>Затраты на транзит собственной электроэнергии</v>
      </c>
    </row>
    <row r="131" spans="2:20" ht="22.5" x14ac:dyDescent="0.2">
      <c r="C131" s="36" t="s">
        <v>1087</v>
      </c>
      <c r="D131" s="61" t="s">
        <v>125</v>
      </c>
      <c r="E131" s="61"/>
      <c r="F131" s="62" t="s">
        <v>126</v>
      </c>
      <c r="G131" s="62">
        <v>570</v>
      </c>
      <c r="H131" s="62" t="s">
        <v>285</v>
      </c>
      <c r="I131" s="62" t="s">
        <v>127</v>
      </c>
      <c r="J131" s="62" t="s">
        <v>128</v>
      </c>
      <c r="K131" s="62" t="s">
        <v>129</v>
      </c>
      <c r="L131" s="72"/>
      <c r="M131" s="73"/>
      <c r="N131" s="52" t="b">
        <f t="shared" ref="N131:N194" si="14">IF(AND($C131="Упр", $C132="1s"), D131)</f>
        <v>0</v>
      </c>
      <c r="O131" s="52" t="b">
        <f t="shared" ref="O131:O194" si="15">IF(AND($C131="Упр", $C132="1s"), D132)</f>
        <v>0</v>
      </c>
      <c r="P131" s="52" t="b">
        <f t="shared" ref="P131:P194" si="16">IF(AND($C131="Упр", $C132="1s"), F132)</f>
        <v>0</v>
      </c>
      <c r="Q131" s="52" t="b">
        <f t="shared" ref="Q131:Q194" si="17">IF(AND($C131="Упр", $C132="1s"), G132)</f>
        <v>0</v>
      </c>
      <c r="R131" s="52" t="b">
        <f t="shared" ref="R131:R194" si="18">IF(AND($C131="Упр", $C132="1s"), H132)</f>
        <v>0</v>
      </c>
      <c r="S131" s="52" t="b">
        <f t="shared" ref="S131:S194" si="19">IF(AND($C131="Упр", $C132="1s"), I132)</f>
        <v>0</v>
      </c>
      <c r="T131" s="52" t="b">
        <f t="shared" ref="T131:T194" si="20">IF(AND($C131="Упр", $C132="1s"), E131)</f>
        <v>0</v>
      </c>
    </row>
    <row r="132" spans="2:20" ht="22.5" x14ac:dyDescent="0.2">
      <c r="C132" s="36" t="s">
        <v>52</v>
      </c>
      <c r="D132" s="46" t="s">
        <v>286</v>
      </c>
      <c r="E132" s="47" t="s">
        <v>287</v>
      </c>
      <c r="F132" s="47"/>
      <c r="G132" s="47"/>
      <c r="H132" s="47"/>
      <c r="I132" s="47"/>
      <c r="J132" s="47"/>
      <c r="K132" s="47"/>
      <c r="L132" s="48"/>
      <c r="M132" s="77" t="s">
        <v>275</v>
      </c>
      <c r="N132" s="52" t="str">
        <f t="shared" si="14"/>
        <v>16.4.</v>
      </c>
      <c r="O132" s="52" t="str">
        <f t="shared" si="15"/>
        <v>44.2 / 44.3</v>
      </c>
      <c r="P132" s="52" t="str">
        <f t="shared" si="16"/>
        <v>Расходы на реализацию в торговле / Управленческие расходы в торговле</v>
      </c>
      <c r="Q132" s="52">
        <f t="shared" si="17"/>
        <v>245</v>
      </c>
      <c r="R132" s="52" t="str">
        <f t="shared" si="18"/>
        <v>Газ</v>
      </c>
      <c r="S132" s="52" t="str">
        <f t="shared" si="19"/>
        <v>Элементы затрат</v>
      </c>
      <c r="T132" s="52" t="str">
        <f t="shared" si="20"/>
        <v>газ</v>
      </c>
    </row>
    <row r="133" spans="2:20" ht="22.5" x14ac:dyDescent="0.2">
      <c r="C133" s="36" t="s">
        <v>1087</v>
      </c>
      <c r="D133" s="61" t="s">
        <v>125</v>
      </c>
      <c r="E133" s="61"/>
      <c r="F133" s="62" t="s">
        <v>126</v>
      </c>
      <c r="G133" s="62">
        <v>245</v>
      </c>
      <c r="H133" s="62" t="s">
        <v>288</v>
      </c>
      <c r="I133" s="62" t="s">
        <v>127</v>
      </c>
      <c r="J133" s="62" t="s">
        <v>128</v>
      </c>
      <c r="K133" s="62" t="s">
        <v>129</v>
      </c>
      <c r="L133" s="72"/>
      <c r="M133" s="73"/>
      <c r="N133" s="52" t="b">
        <f t="shared" si="14"/>
        <v>0</v>
      </c>
      <c r="O133" s="52" t="b">
        <f t="shared" si="15"/>
        <v>0</v>
      </c>
      <c r="P133" s="52" t="b">
        <f t="shared" si="16"/>
        <v>0</v>
      </c>
      <c r="Q133" s="52" t="b">
        <f t="shared" si="17"/>
        <v>0</v>
      </c>
      <c r="R133" s="52" t="b">
        <f t="shared" si="18"/>
        <v>0</v>
      </c>
      <c r="S133" s="52" t="b">
        <f t="shared" si="19"/>
        <v>0</v>
      </c>
      <c r="T133" s="52" t="b">
        <f t="shared" si="20"/>
        <v>0</v>
      </c>
    </row>
    <row r="134" spans="2:20" ht="22.5" x14ac:dyDescent="0.2">
      <c r="C134" s="36" t="s">
        <v>52</v>
      </c>
      <c r="D134" s="46" t="s">
        <v>289</v>
      </c>
      <c r="E134" s="47" t="s">
        <v>290</v>
      </c>
      <c r="F134" s="47"/>
      <c r="G134" s="47"/>
      <c r="H134" s="47"/>
      <c r="I134" s="47"/>
      <c r="J134" s="47"/>
      <c r="K134" s="47"/>
      <c r="L134" s="48"/>
      <c r="M134" s="77" t="s">
        <v>275</v>
      </c>
      <c r="N134" s="52" t="str">
        <f t="shared" si="14"/>
        <v>16.5.</v>
      </c>
      <c r="O134" s="52" t="str">
        <f t="shared" si="15"/>
        <v>44.2 / 44.3</v>
      </c>
      <c r="P134" s="52" t="str">
        <f t="shared" si="16"/>
        <v>Расходы на реализацию в торговле / Управленческие расходы в торговле</v>
      </c>
      <c r="Q134" s="52">
        <f t="shared" si="17"/>
        <v>246</v>
      </c>
      <c r="R134" s="52" t="str">
        <f t="shared" si="18"/>
        <v>Теплоэнергия</v>
      </c>
      <c r="S134" s="52" t="str">
        <f t="shared" si="19"/>
        <v>Элементы затрат</v>
      </c>
      <c r="T134" s="52" t="str">
        <f t="shared" si="20"/>
        <v>тепловая энергия и горячая вода</v>
      </c>
    </row>
    <row r="135" spans="2:20" ht="22.5" x14ac:dyDescent="0.2">
      <c r="C135" s="36" t="s">
        <v>1087</v>
      </c>
      <c r="D135" s="61" t="s">
        <v>125</v>
      </c>
      <c r="E135" s="61"/>
      <c r="F135" s="62" t="s">
        <v>126</v>
      </c>
      <c r="G135" s="62">
        <v>246</v>
      </c>
      <c r="H135" s="62" t="s">
        <v>291</v>
      </c>
      <c r="I135" s="62" t="s">
        <v>127</v>
      </c>
      <c r="J135" s="62" t="s">
        <v>128</v>
      </c>
      <c r="K135" s="62" t="s">
        <v>129</v>
      </c>
      <c r="L135" s="72"/>
      <c r="M135" s="73"/>
      <c r="N135" s="52" t="b">
        <f t="shared" si="14"/>
        <v>0</v>
      </c>
      <c r="O135" s="52" t="b">
        <f t="shared" si="15"/>
        <v>0</v>
      </c>
      <c r="P135" s="52" t="b">
        <f t="shared" si="16"/>
        <v>0</v>
      </c>
      <c r="Q135" s="52" t="b">
        <f t="shared" si="17"/>
        <v>0</v>
      </c>
      <c r="R135" s="52" t="b">
        <f t="shared" si="18"/>
        <v>0</v>
      </c>
      <c r="S135" s="52" t="b">
        <f t="shared" si="19"/>
        <v>0</v>
      </c>
      <c r="T135" s="52" t="b">
        <f t="shared" si="20"/>
        <v>0</v>
      </c>
    </row>
    <row r="136" spans="2:20" ht="22.5" hidden="1" x14ac:dyDescent="0.2">
      <c r="C136" s="35"/>
      <c r="D136" s="35" t="s">
        <v>98</v>
      </c>
      <c r="E136" s="35" t="s">
        <v>99</v>
      </c>
      <c r="F136" s="35" t="s">
        <v>100</v>
      </c>
      <c r="G136" s="35" t="s">
        <v>101</v>
      </c>
      <c r="H136" s="35" t="s">
        <v>102</v>
      </c>
      <c r="I136" s="35" t="s">
        <v>103</v>
      </c>
      <c r="J136" s="35" t="s">
        <v>104</v>
      </c>
      <c r="K136" s="35" t="s">
        <v>105</v>
      </c>
      <c r="L136" s="35" t="s">
        <v>106</v>
      </c>
      <c r="M136" s="35" t="s">
        <v>107</v>
      </c>
      <c r="N136" s="52" t="b">
        <f t="shared" si="14"/>
        <v>0</v>
      </c>
      <c r="O136" s="52" t="b">
        <f t="shared" si="15"/>
        <v>0</v>
      </c>
      <c r="P136" s="52" t="b">
        <f t="shared" si="16"/>
        <v>0</v>
      </c>
      <c r="Q136" s="52" t="b">
        <f t="shared" si="17"/>
        <v>0</v>
      </c>
      <c r="R136" s="52" t="b">
        <f t="shared" si="18"/>
        <v>0</v>
      </c>
      <c r="S136" s="52" t="b">
        <f t="shared" si="19"/>
        <v>0</v>
      </c>
      <c r="T136" s="52" t="b">
        <f t="shared" si="20"/>
        <v>0</v>
      </c>
    </row>
    <row r="137" spans="2:20" ht="33.75" x14ac:dyDescent="0.2">
      <c r="C137" s="36" t="s">
        <v>52</v>
      </c>
      <c r="D137" s="37">
        <v>17</v>
      </c>
      <c r="E137" s="38" t="s">
        <v>292</v>
      </c>
      <c r="F137" s="38"/>
      <c r="G137" s="38"/>
      <c r="H137" s="38"/>
      <c r="I137" s="38"/>
      <c r="J137" s="38"/>
      <c r="K137" s="38"/>
      <c r="L137" s="39"/>
      <c r="M137" s="79" t="s">
        <v>293</v>
      </c>
      <c r="N137" s="52" t="b">
        <f t="shared" si="14"/>
        <v>0</v>
      </c>
      <c r="O137" s="52" t="b">
        <f t="shared" si="15"/>
        <v>0</v>
      </c>
      <c r="P137" s="52" t="b">
        <f t="shared" si="16"/>
        <v>0</v>
      </c>
      <c r="Q137" s="52" t="b">
        <f t="shared" si="17"/>
        <v>0</v>
      </c>
      <c r="R137" s="52" t="b">
        <f t="shared" si="18"/>
        <v>0</v>
      </c>
      <c r="S137" s="52" t="b">
        <f t="shared" si="19"/>
        <v>0</v>
      </c>
      <c r="T137" s="52" t="b">
        <f t="shared" si="20"/>
        <v>0</v>
      </c>
    </row>
    <row r="138" spans="2:20" x14ac:dyDescent="0.2">
      <c r="B138" s="52" t="s">
        <v>294</v>
      </c>
      <c r="C138" s="36" t="s">
        <v>52</v>
      </c>
      <c r="D138" s="46" t="s">
        <v>295</v>
      </c>
      <c r="E138" s="47" t="s">
        <v>292</v>
      </c>
      <c r="F138" s="47"/>
      <c r="G138" s="47"/>
      <c r="H138" s="47"/>
      <c r="I138" s="47"/>
      <c r="J138" s="47"/>
      <c r="K138" s="47"/>
      <c r="L138" s="48"/>
      <c r="M138" s="77"/>
      <c r="N138" s="52" t="b">
        <f t="shared" si="14"/>
        <v>0</v>
      </c>
      <c r="O138" s="52" t="b">
        <f t="shared" si="15"/>
        <v>0</v>
      </c>
      <c r="P138" s="52" t="b">
        <f t="shared" si="16"/>
        <v>0</v>
      </c>
      <c r="Q138" s="52" t="b">
        <f t="shared" si="17"/>
        <v>0</v>
      </c>
      <c r="R138" s="52" t="b">
        <f t="shared" si="18"/>
        <v>0</v>
      </c>
      <c r="S138" s="52" t="b">
        <f t="shared" si="19"/>
        <v>0</v>
      </c>
      <c r="T138" s="52" t="b">
        <f t="shared" si="20"/>
        <v>0</v>
      </c>
    </row>
    <row r="139" spans="2:20" x14ac:dyDescent="0.2">
      <c r="B139" s="52" t="s">
        <v>294</v>
      </c>
      <c r="C139" s="36" t="s">
        <v>52</v>
      </c>
      <c r="D139" s="46" t="s">
        <v>296</v>
      </c>
      <c r="E139" s="47" t="s">
        <v>297</v>
      </c>
      <c r="F139" s="47"/>
      <c r="G139" s="47"/>
      <c r="H139" s="47"/>
      <c r="I139" s="47"/>
      <c r="J139" s="47"/>
      <c r="K139" s="47"/>
      <c r="L139" s="48"/>
      <c r="M139" s="77"/>
      <c r="N139" s="52" t="str">
        <f t="shared" si="14"/>
        <v>17.1.1.</v>
      </c>
      <c r="O139" s="52" t="str">
        <f t="shared" si="15"/>
        <v>44.2 / 44.3</v>
      </c>
      <c r="P139" s="52" t="str">
        <f t="shared" si="16"/>
        <v>Расходы на реализацию в торговле / Управленческие расходы в торговле</v>
      </c>
      <c r="Q139" s="52">
        <f t="shared" si="17"/>
        <v>44</v>
      </c>
      <c r="R139" s="52" t="str">
        <f t="shared" si="18"/>
        <v>Проезд</v>
      </c>
      <c r="S139" s="52" t="str">
        <f t="shared" si="19"/>
        <v>Элементы затрат</v>
      </c>
      <c r="T139" s="52" t="str">
        <f t="shared" si="20"/>
        <v>Проезд</v>
      </c>
    </row>
    <row r="140" spans="2:20" ht="22.5" x14ac:dyDescent="0.2">
      <c r="C140" s="36" t="s">
        <v>1087</v>
      </c>
      <c r="D140" s="61" t="s">
        <v>125</v>
      </c>
      <c r="E140" s="61"/>
      <c r="F140" s="62" t="s">
        <v>126</v>
      </c>
      <c r="G140" s="62">
        <v>44</v>
      </c>
      <c r="H140" s="62" t="s">
        <v>297</v>
      </c>
      <c r="I140" s="62" t="s">
        <v>127</v>
      </c>
      <c r="J140" s="62" t="s">
        <v>128</v>
      </c>
      <c r="K140" s="62" t="s">
        <v>129</v>
      </c>
      <c r="L140" s="72"/>
      <c r="M140" s="73"/>
      <c r="N140" s="52" t="b">
        <f t="shared" si="14"/>
        <v>0</v>
      </c>
      <c r="O140" s="52" t="b">
        <f t="shared" si="15"/>
        <v>0</v>
      </c>
      <c r="P140" s="52" t="b">
        <f t="shared" si="16"/>
        <v>0</v>
      </c>
      <c r="Q140" s="52" t="b">
        <f t="shared" si="17"/>
        <v>0</v>
      </c>
      <c r="R140" s="52" t="b">
        <f t="shared" si="18"/>
        <v>0</v>
      </c>
      <c r="S140" s="52" t="b">
        <f t="shared" si="19"/>
        <v>0</v>
      </c>
      <c r="T140" s="52" t="b">
        <f t="shared" si="20"/>
        <v>0</v>
      </c>
    </row>
    <row r="141" spans="2:20" x14ac:dyDescent="0.2">
      <c r="B141" s="52" t="s">
        <v>294</v>
      </c>
      <c r="C141" s="36" t="s">
        <v>52</v>
      </c>
      <c r="D141" s="46" t="s">
        <v>298</v>
      </c>
      <c r="E141" s="47" t="s">
        <v>299</v>
      </c>
      <c r="F141" s="47"/>
      <c r="G141" s="47"/>
      <c r="H141" s="47"/>
      <c r="I141" s="47"/>
      <c r="J141" s="47"/>
      <c r="K141" s="47"/>
      <c r="L141" s="48"/>
      <c r="M141" s="77"/>
      <c r="N141" s="52" t="str">
        <f t="shared" si="14"/>
        <v>17.1.2.</v>
      </c>
      <c r="O141" s="52" t="str">
        <f t="shared" si="15"/>
        <v>44.2 / 44.3</v>
      </c>
      <c r="P141" s="52" t="str">
        <f t="shared" si="16"/>
        <v>Расходы на реализацию в торговле / Управленческие расходы в торговле</v>
      </c>
      <c r="Q141" s="52">
        <f t="shared" si="17"/>
        <v>45</v>
      </c>
      <c r="R141" s="52" t="str">
        <f t="shared" si="18"/>
        <v>Проживание</v>
      </c>
      <c r="S141" s="52" t="str">
        <f t="shared" si="19"/>
        <v>Элементы затрат</v>
      </c>
      <c r="T141" s="52" t="str">
        <f t="shared" si="20"/>
        <v>Проживание</v>
      </c>
    </row>
    <row r="142" spans="2:20" ht="22.5" x14ac:dyDescent="0.2">
      <c r="C142" s="36" t="s">
        <v>1087</v>
      </c>
      <c r="D142" s="61" t="s">
        <v>125</v>
      </c>
      <c r="E142" s="61"/>
      <c r="F142" s="62" t="s">
        <v>126</v>
      </c>
      <c r="G142" s="62">
        <v>45</v>
      </c>
      <c r="H142" s="62" t="s">
        <v>299</v>
      </c>
      <c r="I142" s="62" t="s">
        <v>127</v>
      </c>
      <c r="J142" s="62" t="s">
        <v>128</v>
      </c>
      <c r="K142" s="62" t="s">
        <v>129</v>
      </c>
      <c r="L142" s="72"/>
      <c r="M142" s="73"/>
      <c r="N142" s="52" t="b">
        <f t="shared" si="14"/>
        <v>0</v>
      </c>
      <c r="O142" s="52" t="b">
        <f t="shared" si="15"/>
        <v>0</v>
      </c>
      <c r="P142" s="52" t="b">
        <f t="shared" si="16"/>
        <v>0</v>
      </c>
      <c r="Q142" s="52" t="b">
        <f t="shared" si="17"/>
        <v>0</v>
      </c>
      <c r="R142" s="52" t="b">
        <f t="shared" si="18"/>
        <v>0</v>
      </c>
      <c r="S142" s="52" t="b">
        <f t="shared" si="19"/>
        <v>0</v>
      </c>
      <c r="T142" s="52" t="b">
        <f t="shared" si="20"/>
        <v>0</v>
      </c>
    </row>
    <row r="143" spans="2:20" x14ac:dyDescent="0.2">
      <c r="B143" s="52" t="s">
        <v>294</v>
      </c>
      <c r="C143" s="36" t="s">
        <v>52</v>
      </c>
      <c r="D143" s="46" t="s">
        <v>300</v>
      </c>
      <c r="E143" s="47" t="s">
        <v>301</v>
      </c>
      <c r="F143" s="47"/>
      <c r="G143" s="47"/>
      <c r="H143" s="47"/>
      <c r="I143" s="47"/>
      <c r="J143" s="47"/>
      <c r="K143" s="47"/>
      <c r="L143" s="48"/>
      <c r="M143" s="77"/>
      <c r="N143" s="52" t="str">
        <f t="shared" si="14"/>
        <v>17.1.3.</v>
      </c>
      <c r="O143" s="52" t="str">
        <f t="shared" si="15"/>
        <v>44.2 / 44.3</v>
      </c>
      <c r="P143" s="52" t="str">
        <f t="shared" si="16"/>
        <v>Расходы на реализацию в торговле / Управленческие расходы в торговле</v>
      </c>
      <c r="Q143" s="52">
        <f t="shared" si="17"/>
        <v>46</v>
      </c>
      <c r="R143" s="52" t="str">
        <f t="shared" si="18"/>
        <v>Суточные</v>
      </c>
      <c r="S143" s="52" t="str">
        <f t="shared" si="19"/>
        <v>Элементы затрат</v>
      </c>
      <c r="T143" s="52" t="str">
        <f t="shared" si="20"/>
        <v>Суточные</v>
      </c>
    </row>
    <row r="144" spans="2:20" ht="22.5" x14ac:dyDescent="0.2">
      <c r="C144" s="36" t="s">
        <v>1087</v>
      </c>
      <c r="D144" s="61" t="s">
        <v>125</v>
      </c>
      <c r="E144" s="61"/>
      <c r="F144" s="62" t="s">
        <v>126</v>
      </c>
      <c r="G144" s="62">
        <v>46</v>
      </c>
      <c r="H144" s="62" t="s">
        <v>301</v>
      </c>
      <c r="I144" s="62" t="s">
        <v>127</v>
      </c>
      <c r="J144" s="62" t="s">
        <v>128</v>
      </c>
      <c r="K144" s="62" t="s">
        <v>129</v>
      </c>
      <c r="L144" s="72"/>
      <c r="M144" s="73"/>
      <c r="N144" s="52" t="b">
        <f t="shared" si="14"/>
        <v>0</v>
      </c>
      <c r="O144" s="52" t="b">
        <f t="shared" si="15"/>
        <v>0</v>
      </c>
      <c r="P144" s="52" t="b">
        <f t="shared" si="16"/>
        <v>0</v>
      </c>
      <c r="Q144" s="52" t="b">
        <f t="shared" si="17"/>
        <v>0</v>
      </c>
      <c r="R144" s="52" t="b">
        <f t="shared" si="18"/>
        <v>0</v>
      </c>
      <c r="S144" s="52" t="b">
        <f t="shared" si="19"/>
        <v>0</v>
      </c>
      <c r="T144" s="52" t="b">
        <f t="shared" si="20"/>
        <v>0</v>
      </c>
    </row>
    <row r="145" spans="2:20" ht="22.5" x14ac:dyDescent="0.2">
      <c r="B145" s="52" t="s">
        <v>294</v>
      </c>
      <c r="C145" s="36" t="s">
        <v>52</v>
      </c>
      <c r="D145" s="46" t="s">
        <v>302</v>
      </c>
      <c r="E145" s="47" t="s">
        <v>303</v>
      </c>
      <c r="F145" s="47"/>
      <c r="G145" s="47"/>
      <c r="H145" s="47"/>
      <c r="I145" s="47"/>
      <c r="J145" s="47"/>
      <c r="K145" s="47"/>
      <c r="L145" s="48"/>
      <c r="M145" s="77"/>
      <c r="N145" s="52" t="str">
        <f t="shared" si="14"/>
        <v>17.1.4.</v>
      </c>
      <c r="O145" s="52" t="str">
        <f t="shared" si="15"/>
        <v>90.10.1 / 90.10.11</v>
      </c>
      <c r="P145" s="52" t="str">
        <f t="shared" si="16"/>
        <v>Прочие расходы по текущей деятельности / -||- (по местам хранения)</v>
      </c>
      <c r="Q145" s="52">
        <f t="shared" si="17"/>
        <v>56</v>
      </c>
      <c r="R145" s="52" t="str">
        <f t="shared" si="18"/>
        <v>Командировочные расходы (проживание) сверхнормативные</v>
      </c>
      <c r="S145" s="52" t="str">
        <f t="shared" si="19"/>
        <v>Виды прочих расходов</v>
      </c>
      <c r="T145" s="52" t="str">
        <f t="shared" si="20"/>
        <v>Командировочные расходы (проживание) сверхнормативные</v>
      </c>
    </row>
    <row r="146" spans="2:20" ht="33.75" x14ac:dyDescent="0.2">
      <c r="C146" s="36" t="s">
        <v>1087</v>
      </c>
      <c r="D146" s="62" t="s">
        <v>132</v>
      </c>
      <c r="E146" s="62"/>
      <c r="F146" s="62" t="s">
        <v>133</v>
      </c>
      <c r="G146" s="62">
        <v>56</v>
      </c>
      <c r="H146" s="62" t="s">
        <v>303</v>
      </c>
      <c r="I146" s="62" t="s">
        <v>134</v>
      </c>
      <c r="J146" s="62" t="s">
        <v>135</v>
      </c>
      <c r="K146" s="62"/>
      <c r="L146" s="72"/>
      <c r="M146" s="73"/>
      <c r="N146" s="52" t="b">
        <f t="shared" si="14"/>
        <v>0</v>
      </c>
      <c r="O146" s="52" t="b">
        <f t="shared" si="15"/>
        <v>0</v>
      </c>
      <c r="P146" s="52" t="b">
        <f t="shared" si="16"/>
        <v>0</v>
      </c>
      <c r="Q146" s="52" t="b">
        <f t="shared" si="17"/>
        <v>0</v>
      </c>
      <c r="R146" s="52" t="b">
        <f t="shared" si="18"/>
        <v>0</v>
      </c>
      <c r="S146" s="52" t="b">
        <f t="shared" si="19"/>
        <v>0</v>
      </c>
      <c r="T146" s="52" t="b">
        <f t="shared" si="20"/>
        <v>0</v>
      </c>
    </row>
    <row r="147" spans="2:20" ht="22.5" x14ac:dyDescent="0.2">
      <c r="B147" s="52" t="s">
        <v>294</v>
      </c>
      <c r="C147" s="36" t="s">
        <v>52</v>
      </c>
      <c r="D147" s="46" t="s">
        <v>304</v>
      </c>
      <c r="E147" s="47" t="s">
        <v>305</v>
      </c>
      <c r="F147" s="47"/>
      <c r="G147" s="47"/>
      <c r="H147" s="47"/>
      <c r="I147" s="47"/>
      <c r="J147" s="47"/>
      <c r="K147" s="47"/>
      <c r="L147" s="48"/>
      <c r="M147" s="77"/>
      <c r="N147" s="52" t="str">
        <f t="shared" si="14"/>
        <v>17.1.5.</v>
      </c>
      <c r="O147" s="52" t="str">
        <f t="shared" si="15"/>
        <v>90.10.1 / 90.10.11</v>
      </c>
      <c r="P147" s="52" t="str">
        <f t="shared" si="16"/>
        <v>Прочие расходы по текущей деятельности / -||- (по местам хранения)</v>
      </c>
      <c r="Q147" s="52">
        <f t="shared" si="17"/>
        <v>47</v>
      </c>
      <c r="R147" s="52" t="str">
        <f t="shared" si="18"/>
        <v>Командировочные расходы (суточные) сверхнормативные</v>
      </c>
      <c r="S147" s="52" t="str">
        <f t="shared" si="19"/>
        <v>Виды прочих расходов</v>
      </c>
      <c r="T147" s="52" t="str">
        <f t="shared" si="20"/>
        <v>Командировочные расходы (суточные) сверхнормативные</v>
      </c>
    </row>
    <row r="148" spans="2:20" ht="33.75" x14ac:dyDescent="0.2">
      <c r="C148" s="36" t="s">
        <v>1087</v>
      </c>
      <c r="D148" s="62" t="s">
        <v>132</v>
      </c>
      <c r="E148" s="62"/>
      <c r="F148" s="62" t="s">
        <v>133</v>
      </c>
      <c r="G148" s="62">
        <v>47</v>
      </c>
      <c r="H148" s="62" t="s">
        <v>305</v>
      </c>
      <c r="I148" s="62" t="s">
        <v>134</v>
      </c>
      <c r="J148" s="62" t="s">
        <v>135</v>
      </c>
      <c r="K148" s="62"/>
      <c r="L148" s="72"/>
      <c r="M148" s="73"/>
      <c r="N148" s="52" t="b">
        <f t="shared" si="14"/>
        <v>0</v>
      </c>
      <c r="O148" s="52" t="b">
        <f t="shared" si="15"/>
        <v>0</v>
      </c>
      <c r="P148" s="52" t="b">
        <f t="shared" si="16"/>
        <v>0</v>
      </c>
      <c r="Q148" s="52" t="b">
        <f t="shared" si="17"/>
        <v>0</v>
      </c>
      <c r="R148" s="52" t="b">
        <f t="shared" si="18"/>
        <v>0</v>
      </c>
      <c r="S148" s="52" t="b">
        <f t="shared" si="19"/>
        <v>0</v>
      </c>
      <c r="T148" s="52" t="b">
        <f t="shared" si="20"/>
        <v>0</v>
      </c>
    </row>
    <row r="149" spans="2:20" ht="22.5" x14ac:dyDescent="0.2">
      <c r="B149" s="52" t="s">
        <v>294</v>
      </c>
      <c r="C149" s="36" t="s">
        <v>52</v>
      </c>
      <c r="D149" s="46" t="s">
        <v>306</v>
      </c>
      <c r="E149" s="47" t="s">
        <v>307</v>
      </c>
      <c r="F149" s="47"/>
      <c r="G149" s="47"/>
      <c r="H149" s="47"/>
      <c r="I149" s="47"/>
      <c r="J149" s="47"/>
      <c r="K149" s="47"/>
      <c r="L149" s="72"/>
      <c r="M149" s="73"/>
      <c r="N149" s="52" t="str">
        <f t="shared" si="14"/>
        <v>17.1.6.</v>
      </c>
      <c r="O149" s="52" t="str">
        <f t="shared" si="15"/>
        <v>90.10.1 / 90.10.11</v>
      </c>
      <c r="P149" s="52" t="str">
        <f t="shared" si="16"/>
        <v>Прочие расходы по текущей деятельности / -||- (по местам хранения)</v>
      </c>
      <c r="Q149" s="52">
        <f t="shared" si="17"/>
        <v>71</v>
      </c>
      <c r="R149" s="52" t="str">
        <f t="shared" si="18"/>
        <v>Командировочные расходы (проезд) сверхнормативные</v>
      </c>
      <c r="S149" s="52" t="str">
        <f t="shared" si="19"/>
        <v>Виды прочих расходов</v>
      </c>
      <c r="T149" s="52" t="str">
        <f t="shared" si="20"/>
        <v>Командировочные расходы (проезд) сверхнормативные</v>
      </c>
    </row>
    <row r="150" spans="2:20" ht="33.75" x14ac:dyDescent="0.2">
      <c r="C150" s="36" t="s">
        <v>1087</v>
      </c>
      <c r="D150" s="62" t="s">
        <v>132</v>
      </c>
      <c r="E150" s="62"/>
      <c r="F150" s="62" t="s">
        <v>133</v>
      </c>
      <c r="G150" s="62">
        <v>71</v>
      </c>
      <c r="H150" s="62" t="s">
        <v>307</v>
      </c>
      <c r="I150" s="62" t="s">
        <v>134</v>
      </c>
      <c r="J150" s="62" t="s">
        <v>135</v>
      </c>
      <c r="K150" s="62"/>
      <c r="L150" s="72"/>
      <c r="M150" s="73"/>
      <c r="N150" s="52" t="b">
        <f t="shared" si="14"/>
        <v>0</v>
      </c>
      <c r="O150" s="52" t="b">
        <f t="shared" si="15"/>
        <v>0</v>
      </c>
      <c r="P150" s="52" t="b">
        <f t="shared" si="16"/>
        <v>0</v>
      </c>
      <c r="Q150" s="52" t="b">
        <f t="shared" si="17"/>
        <v>0</v>
      </c>
      <c r="R150" s="52" t="b">
        <f t="shared" si="18"/>
        <v>0</v>
      </c>
      <c r="S150" s="52" t="b">
        <f t="shared" si="19"/>
        <v>0</v>
      </c>
      <c r="T150" s="52" t="b">
        <f t="shared" si="20"/>
        <v>0</v>
      </c>
    </row>
    <row r="151" spans="2:20" ht="22.5" x14ac:dyDescent="0.2">
      <c r="B151" s="52" t="s">
        <v>294</v>
      </c>
      <c r="C151" s="36" t="s">
        <v>52</v>
      </c>
      <c r="D151" s="46" t="s">
        <v>308</v>
      </c>
      <c r="E151" s="47" t="s">
        <v>309</v>
      </c>
      <c r="F151" s="47"/>
      <c r="G151" s="47"/>
      <c r="H151" s="47"/>
      <c r="I151" s="47"/>
      <c r="J151" s="47"/>
      <c r="K151" s="47"/>
      <c r="L151" s="48"/>
      <c r="M151" s="77"/>
      <c r="N151" s="52" t="str">
        <f t="shared" si="14"/>
        <v>17.1.7.</v>
      </c>
      <c r="O151" s="52" t="str">
        <f t="shared" si="15"/>
        <v>90.10.1 / 90.10.11</v>
      </c>
      <c r="P151" s="52" t="str">
        <f t="shared" si="16"/>
        <v>Прочие расходы по текущей деятельности / -||- (по местам хранения)</v>
      </c>
      <c r="Q151" s="52">
        <f t="shared" si="17"/>
        <v>117</v>
      </c>
      <c r="R151" s="52" t="str">
        <f t="shared" si="18"/>
        <v>Транспортные услуги по перевозке пассажиров</v>
      </c>
      <c r="S151" s="52" t="str">
        <f t="shared" si="19"/>
        <v>Виды прочих расходов</v>
      </c>
      <c r="T151" s="52" t="str">
        <f t="shared" si="20"/>
        <v>Транспортные услуги по перевозке пассажиров</v>
      </c>
    </row>
    <row r="152" spans="2:20" ht="33.75" x14ac:dyDescent="0.2">
      <c r="C152" s="36" t="s">
        <v>1087</v>
      </c>
      <c r="D152" s="62" t="s">
        <v>132</v>
      </c>
      <c r="E152" s="62"/>
      <c r="F152" s="62" t="s">
        <v>133</v>
      </c>
      <c r="G152" s="62">
        <v>117</v>
      </c>
      <c r="H152" s="62" t="s">
        <v>309</v>
      </c>
      <c r="I152" s="62" t="s">
        <v>134</v>
      </c>
      <c r="J152" s="62" t="s">
        <v>135</v>
      </c>
      <c r="K152" s="62"/>
      <c r="L152" s="72"/>
      <c r="M152" s="73"/>
      <c r="N152" s="52" t="b">
        <f t="shared" si="14"/>
        <v>0</v>
      </c>
      <c r="O152" s="52" t="b">
        <f t="shared" si="15"/>
        <v>0</v>
      </c>
      <c r="P152" s="52" t="b">
        <f t="shared" si="16"/>
        <v>0</v>
      </c>
      <c r="Q152" s="52" t="b">
        <f t="shared" si="17"/>
        <v>0</v>
      </c>
      <c r="R152" s="52" t="b">
        <f t="shared" si="18"/>
        <v>0</v>
      </c>
      <c r="S152" s="52" t="b">
        <f t="shared" si="19"/>
        <v>0</v>
      </c>
      <c r="T152" s="52" t="b">
        <f t="shared" si="20"/>
        <v>0</v>
      </c>
    </row>
    <row r="153" spans="2:20" ht="22.5" hidden="1" x14ac:dyDescent="0.2">
      <c r="C153" s="35"/>
      <c r="D153" s="35" t="s">
        <v>98</v>
      </c>
      <c r="E153" s="35" t="s">
        <v>99</v>
      </c>
      <c r="F153" s="35" t="s">
        <v>100</v>
      </c>
      <c r="G153" s="35" t="s">
        <v>101</v>
      </c>
      <c r="H153" s="35" t="s">
        <v>102</v>
      </c>
      <c r="I153" s="35" t="s">
        <v>103</v>
      </c>
      <c r="J153" s="35" t="s">
        <v>104</v>
      </c>
      <c r="K153" s="35" t="s">
        <v>105</v>
      </c>
      <c r="L153" s="35" t="s">
        <v>106</v>
      </c>
      <c r="M153" s="35" t="s">
        <v>107</v>
      </c>
      <c r="N153" s="52" t="b">
        <f t="shared" si="14"/>
        <v>0</v>
      </c>
      <c r="O153" s="52" t="b">
        <f t="shared" si="15"/>
        <v>0</v>
      </c>
      <c r="P153" s="52" t="b">
        <f t="shared" si="16"/>
        <v>0</v>
      </c>
      <c r="Q153" s="52" t="b">
        <f t="shared" si="17"/>
        <v>0</v>
      </c>
      <c r="R153" s="52" t="b">
        <f t="shared" si="18"/>
        <v>0</v>
      </c>
      <c r="S153" s="52" t="b">
        <f t="shared" si="19"/>
        <v>0</v>
      </c>
      <c r="T153" s="52" t="b">
        <f t="shared" si="20"/>
        <v>0</v>
      </c>
    </row>
    <row r="154" spans="2:20" ht="22.5" x14ac:dyDescent="0.2">
      <c r="C154" s="36" t="s">
        <v>52</v>
      </c>
      <c r="D154" s="37">
        <v>18</v>
      </c>
      <c r="E154" s="38" t="s">
        <v>310</v>
      </c>
      <c r="F154" s="38"/>
      <c r="G154" s="38"/>
      <c r="H154" s="38"/>
      <c r="I154" s="38"/>
      <c r="J154" s="38"/>
      <c r="K154" s="38"/>
      <c r="L154" s="39" t="s">
        <v>311</v>
      </c>
      <c r="M154" s="38" t="s">
        <v>312</v>
      </c>
      <c r="N154" s="52" t="b">
        <f t="shared" si="14"/>
        <v>0</v>
      </c>
      <c r="O154" s="52" t="b">
        <f t="shared" si="15"/>
        <v>0</v>
      </c>
      <c r="P154" s="52" t="b">
        <f t="shared" si="16"/>
        <v>0</v>
      </c>
      <c r="Q154" s="52" t="b">
        <f t="shared" si="17"/>
        <v>0</v>
      </c>
      <c r="R154" s="52" t="b">
        <f t="shared" si="18"/>
        <v>0</v>
      </c>
      <c r="S154" s="52" t="b">
        <f t="shared" si="19"/>
        <v>0</v>
      </c>
      <c r="T154" s="52" t="b">
        <f t="shared" si="20"/>
        <v>0</v>
      </c>
    </row>
    <row r="155" spans="2:20" x14ac:dyDescent="0.2">
      <c r="C155" s="36" t="s">
        <v>52</v>
      </c>
      <c r="D155" s="40" t="s">
        <v>313</v>
      </c>
      <c r="E155" s="41" t="s">
        <v>314</v>
      </c>
      <c r="F155" s="41"/>
      <c r="G155" s="41"/>
      <c r="H155" s="42" t="s">
        <v>315</v>
      </c>
      <c r="I155" s="41"/>
      <c r="J155" s="41"/>
      <c r="K155" s="41"/>
      <c r="L155" s="42"/>
      <c r="M155" s="42" t="s">
        <v>315</v>
      </c>
      <c r="N155" s="52" t="str">
        <f t="shared" si="14"/>
        <v>18.1.</v>
      </c>
      <c r="O155" s="52" t="str">
        <f t="shared" si="15"/>
        <v>44.2 / 44.3</v>
      </c>
      <c r="P155" s="52" t="str">
        <f t="shared" si="16"/>
        <v>Расходы на реализацию в торговле / Управленческие расходы в торговле</v>
      </c>
      <c r="Q155" s="52">
        <f t="shared" si="17"/>
        <v>0</v>
      </c>
      <c r="R155" s="52">
        <f t="shared" si="18"/>
        <v>0</v>
      </c>
      <c r="S155" s="52" t="str">
        <f t="shared" si="19"/>
        <v>Элементы затрат</v>
      </c>
      <c r="T155" s="52" t="str">
        <f t="shared" si="20"/>
        <v>погрузо-разгрузочные работы</v>
      </c>
    </row>
    <row r="156" spans="2:20" ht="22.5" x14ac:dyDescent="0.2">
      <c r="C156" s="36" t="s">
        <v>1087</v>
      </c>
      <c r="D156" s="61" t="s">
        <v>125</v>
      </c>
      <c r="E156" s="61"/>
      <c r="F156" s="62" t="s">
        <v>126</v>
      </c>
      <c r="G156" s="62"/>
      <c r="H156" s="62"/>
      <c r="I156" s="62" t="s">
        <v>127</v>
      </c>
      <c r="J156" s="62" t="s">
        <v>128</v>
      </c>
      <c r="K156" s="62" t="s">
        <v>129</v>
      </c>
      <c r="L156" s="72"/>
      <c r="M156" s="72"/>
      <c r="N156" s="52" t="b">
        <f t="shared" si="14"/>
        <v>0</v>
      </c>
      <c r="O156" s="52" t="b">
        <f t="shared" si="15"/>
        <v>0</v>
      </c>
      <c r="P156" s="52" t="b">
        <f t="shared" si="16"/>
        <v>0</v>
      </c>
      <c r="Q156" s="52" t="b">
        <f t="shared" si="17"/>
        <v>0</v>
      </c>
      <c r="R156" s="52" t="b">
        <f t="shared" si="18"/>
        <v>0</v>
      </c>
      <c r="S156" s="52" t="b">
        <f t="shared" si="19"/>
        <v>0</v>
      </c>
      <c r="T156" s="52" t="b">
        <f t="shared" si="20"/>
        <v>0</v>
      </c>
    </row>
    <row r="157" spans="2:20" x14ac:dyDescent="0.2">
      <c r="C157" s="36" t="s">
        <v>52</v>
      </c>
      <c r="D157" s="46" t="s">
        <v>316</v>
      </c>
      <c r="E157" s="47" t="s">
        <v>317</v>
      </c>
      <c r="F157" s="47"/>
      <c r="G157" s="47"/>
      <c r="H157" s="47"/>
      <c r="I157" s="47"/>
      <c r="J157" s="47"/>
      <c r="K157" s="47"/>
      <c r="L157" s="48"/>
      <c r="M157" s="48"/>
      <c r="N157" s="52" t="b">
        <f t="shared" si="14"/>
        <v>0</v>
      </c>
      <c r="O157" s="52" t="b">
        <f t="shared" si="15"/>
        <v>0</v>
      </c>
      <c r="P157" s="52" t="b">
        <f t="shared" si="16"/>
        <v>0</v>
      </c>
      <c r="Q157" s="52" t="b">
        <f t="shared" si="17"/>
        <v>0</v>
      </c>
      <c r="R157" s="52" t="b">
        <f t="shared" si="18"/>
        <v>0</v>
      </c>
      <c r="S157" s="52" t="b">
        <f t="shared" si="19"/>
        <v>0</v>
      </c>
      <c r="T157" s="52" t="b">
        <f t="shared" si="20"/>
        <v>0</v>
      </c>
    </row>
    <row r="158" spans="2:20" x14ac:dyDescent="0.2">
      <c r="C158" s="36" t="s">
        <v>52</v>
      </c>
      <c r="D158" s="46" t="s">
        <v>318</v>
      </c>
      <c r="E158" s="47" t="s">
        <v>317</v>
      </c>
      <c r="F158" s="47"/>
      <c r="G158" s="47"/>
      <c r="H158" s="47"/>
      <c r="I158" s="47"/>
      <c r="J158" s="47"/>
      <c r="K158" s="47"/>
      <c r="L158" s="48"/>
      <c r="M158" s="48"/>
      <c r="N158" s="52" t="str">
        <f t="shared" si="14"/>
        <v>18.2.1.</v>
      </c>
      <c r="O158" s="52" t="str">
        <f t="shared" si="15"/>
        <v>44.2 / 44.3</v>
      </c>
      <c r="P158" s="52" t="str">
        <f t="shared" si="16"/>
        <v>Расходы на реализацию в торговле / Управленческие расходы в торговле</v>
      </c>
      <c r="Q158" s="52">
        <f t="shared" si="17"/>
        <v>359</v>
      </c>
      <c r="R158" s="52" t="str">
        <f t="shared" si="18"/>
        <v xml:space="preserve">Услуги по хранению </v>
      </c>
      <c r="S158" s="52" t="str">
        <f t="shared" si="19"/>
        <v>Элементы затрат</v>
      </c>
      <c r="T158" s="52" t="str">
        <f t="shared" si="20"/>
        <v xml:space="preserve">Услуги по хранению </v>
      </c>
    </row>
    <row r="159" spans="2:20" ht="22.5" x14ac:dyDescent="0.2">
      <c r="C159" s="36" t="s">
        <v>1087</v>
      </c>
      <c r="D159" s="61" t="s">
        <v>125</v>
      </c>
      <c r="E159" s="61"/>
      <c r="F159" s="62" t="s">
        <v>126</v>
      </c>
      <c r="G159" s="62">
        <v>359</v>
      </c>
      <c r="H159" s="62" t="s">
        <v>317</v>
      </c>
      <c r="I159" s="62" t="s">
        <v>127</v>
      </c>
      <c r="J159" s="62" t="s">
        <v>128</v>
      </c>
      <c r="K159" s="62" t="s">
        <v>129</v>
      </c>
      <c r="L159" s="72"/>
      <c r="M159" s="72"/>
      <c r="N159" s="52" t="b">
        <f t="shared" si="14"/>
        <v>0</v>
      </c>
      <c r="O159" s="52" t="b">
        <f t="shared" si="15"/>
        <v>0</v>
      </c>
      <c r="P159" s="52" t="b">
        <f t="shared" si="16"/>
        <v>0</v>
      </c>
      <c r="Q159" s="52" t="b">
        <f t="shared" si="17"/>
        <v>0</v>
      </c>
      <c r="R159" s="52" t="b">
        <f t="shared" si="18"/>
        <v>0</v>
      </c>
      <c r="S159" s="52" t="b">
        <f t="shared" si="19"/>
        <v>0</v>
      </c>
      <c r="T159" s="52" t="b">
        <f t="shared" si="20"/>
        <v>0</v>
      </c>
    </row>
    <row r="160" spans="2:20" ht="22.5" x14ac:dyDescent="0.2">
      <c r="C160" s="36" t="s">
        <v>52</v>
      </c>
      <c r="D160" s="46" t="s">
        <v>319</v>
      </c>
      <c r="E160" s="47" t="s">
        <v>320</v>
      </c>
      <c r="F160" s="47"/>
      <c r="G160" s="47"/>
      <c r="H160" s="47"/>
      <c r="I160" s="47"/>
      <c r="J160" s="47"/>
      <c r="K160" s="47"/>
      <c r="L160" s="48"/>
      <c r="M160" s="48"/>
      <c r="N160" s="52" t="str">
        <f t="shared" si="14"/>
        <v>18.2.2.</v>
      </c>
      <c r="O160" s="52" t="str">
        <f t="shared" si="15"/>
        <v>44.2 / 44.3</v>
      </c>
      <c r="P160" s="52" t="str">
        <f t="shared" si="16"/>
        <v>Расходы на реализацию в торговле / Управленческие расходы в торговле</v>
      </c>
      <c r="Q160" s="52">
        <f t="shared" si="17"/>
        <v>496</v>
      </c>
      <c r="R160" s="52" t="str">
        <f t="shared" si="18"/>
        <v>Текхнологические отходы при фасовке</v>
      </c>
      <c r="S160" s="52" t="str">
        <f t="shared" si="19"/>
        <v>Элементы затрат</v>
      </c>
      <c r="T160" s="52" t="str">
        <f t="shared" si="20"/>
        <v>Текхнологические отходы при фасовке</v>
      </c>
    </row>
    <row r="161" spans="3:20" ht="22.5" x14ac:dyDescent="0.2">
      <c r="C161" s="36" t="s">
        <v>1087</v>
      </c>
      <c r="D161" s="61" t="s">
        <v>125</v>
      </c>
      <c r="E161" s="61"/>
      <c r="F161" s="62" t="s">
        <v>126</v>
      </c>
      <c r="G161" s="62">
        <v>496</v>
      </c>
      <c r="H161" s="62" t="s">
        <v>320</v>
      </c>
      <c r="I161" s="62" t="s">
        <v>127</v>
      </c>
      <c r="J161" s="62" t="s">
        <v>128</v>
      </c>
      <c r="K161" s="62" t="s">
        <v>129</v>
      </c>
      <c r="L161" s="72"/>
      <c r="M161" s="72"/>
      <c r="N161" s="52" t="b">
        <f t="shared" si="14"/>
        <v>0</v>
      </c>
      <c r="O161" s="52" t="b">
        <f t="shared" si="15"/>
        <v>0</v>
      </c>
      <c r="P161" s="52" t="b">
        <f t="shared" si="16"/>
        <v>0</v>
      </c>
      <c r="Q161" s="52" t="b">
        <f t="shared" si="17"/>
        <v>0</v>
      </c>
      <c r="R161" s="52" t="b">
        <f t="shared" si="18"/>
        <v>0</v>
      </c>
      <c r="S161" s="52" t="b">
        <f t="shared" si="19"/>
        <v>0</v>
      </c>
      <c r="T161" s="52" t="b">
        <f t="shared" si="20"/>
        <v>0</v>
      </c>
    </row>
    <row r="162" spans="3:20" ht="22.5" x14ac:dyDescent="0.2">
      <c r="C162" s="36" t="s">
        <v>52</v>
      </c>
      <c r="D162" s="40" t="s">
        <v>321</v>
      </c>
      <c r="E162" s="41" t="s">
        <v>322</v>
      </c>
      <c r="F162" s="41"/>
      <c r="G162" s="41"/>
      <c r="H162" s="42" t="s">
        <v>315</v>
      </c>
      <c r="I162" s="41"/>
      <c r="J162" s="41"/>
      <c r="K162" s="41"/>
      <c r="L162" s="42"/>
      <c r="M162" s="42" t="s">
        <v>315</v>
      </c>
      <c r="N162" s="52" t="str">
        <f t="shared" si="14"/>
        <v>18.3.</v>
      </c>
      <c r="O162" s="52" t="str">
        <f t="shared" si="15"/>
        <v>44.2 / 44.3</v>
      </c>
      <c r="P162" s="52" t="str">
        <f t="shared" si="16"/>
        <v>Расходы на реализацию в торговле / Управленческие расходы в торговле</v>
      </c>
      <c r="Q162" s="52">
        <f t="shared" si="17"/>
        <v>0</v>
      </c>
      <c r="R162" s="52">
        <f t="shared" si="18"/>
        <v>0</v>
      </c>
      <c r="S162" s="52" t="str">
        <f t="shared" si="19"/>
        <v>Элементы затрат</v>
      </c>
      <c r="T162" s="52" t="str">
        <f t="shared" si="20"/>
        <v>прочие материалы (стрейч, скотч и т.п.)</v>
      </c>
    </row>
    <row r="163" spans="3:20" ht="22.5" x14ac:dyDescent="0.2">
      <c r="C163" s="36" t="s">
        <v>1087</v>
      </c>
      <c r="D163" s="61" t="s">
        <v>125</v>
      </c>
      <c r="E163" s="61"/>
      <c r="F163" s="62" t="s">
        <v>126</v>
      </c>
      <c r="G163" s="62"/>
      <c r="H163" s="62"/>
      <c r="I163" s="62" t="s">
        <v>127</v>
      </c>
      <c r="J163" s="62" t="s">
        <v>128</v>
      </c>
      <c r="K163" s="62" t="s">
        <v>129</v>
      </c>
      <c r="L163" s="72"/>
      <c r="M163" s="72"/>
      <c r="N163" s="52" t="b">
        <f t="shared" si="14"/>
        <v>0</v>
      </c>
      <c r="O163" s="52" t="b">
        <f t="shared" si="15"/>
        <v>0</v>
      </c>
      <c r="P163" s="52" t="b">
        <f t="shared" si="16"/>
        <v>0</v>
      </c>
      <c r="Q163" s="52" t="b">
        <f t="shared" si="17"/>
        <v>0</v>
      </c>
      <c r="R163" s="52" t="b">
        <f t="shared" si="18"/>
        <v>0</v>
      </c>
      <c r="S163" s="52" t="b">
        <f t="shared" si="19"/>
        <v>0</v>
      </c>
      <c r="T163" s="52" t="b">
        <f t="shared" si="20"/>
        <v>0</v>
      </c>
    </row>
    <row r="164" spans="3:20" x14ac:dyDescent="0.2">
      <c r="C164" s="36" t="s">
        <v>52</v>
      </c>
      <c r="D164" s="40" t="s">
        <v>323</v>
      </c>
      <c r="E164" s="41" t="s">
        <v>324</v>
      </c>
      <c r="F164" s="41"/>
      <c r="G164" s="41"/>
      <c r="H164" s="42" t="s">
        <v>315</v>
      </c>
      <c r="I164" s="41"/>
      <c r="J164" s="41"/>
      <c r="K164" s="41"/>
      <c r="L164" s="42"/>
      <c r="M164" s="42" t="s">
        <v>315</v>
      </c>
      <c r="N164" s="52" t="str">
        <f t="shared" si="14"/>
        <v>18.4.</v>
      </c>
      <c r="O164" s="52" t="str">
        <f t="shared" si="15"/>
        <v>44.2 / 44.3</v>
      </c>
      <c r="P164" s="52" t="str">
        <f t="shared" si="16"/>
        <v>Расходы на реализацию в торговле / Управленческие расходы в торговле</v>
      </c>
      <c r="Q164" s="52">
        <f t="shared" si="17"/>
        <v>0</v>
      </c>
      <c r="R164" s="52">
        <f t="shared" si="18"/>
        <v>0</v>
      </c>
      <c r="S164" s="52" t="str">
        <f t="shared" si="19"/>
        <v>Элементы затрат</v>
      </c>
      <c r="T164" s="52" t="str">
        <f t="shared" si="20"/>
        <v xml:space="preserve">аренда складов </v>
      </c>
    </row>
    <row r="165" spans="3:20" ht="22.5" x14ac:dyDescent="0.2">
      <c r="C165" s="36" t="s">
        <v>1087</v>
      </c>
      <c r="D165" s="61" t="s">
        <v>125</v>
      </c>
      <c r="E165" s="61"/>
      <c r="F165" s="62" t="s">
        <v>126</v>
      </c>
      <c r="G165" s="62"/>
      <c r="H165" s="62"/>
      <c r="I165" s="62" t="s">
        <v>127</v>
      </c>
      <c r="J165" s="62" t="s">
        <v>128</v>
      </c>
      <c r="K165" s="62" t="s">
        <v>129</v>
      </c>
      <c r="L165" s="72"/>
      <c r="M165" s="73"/>
      <c r="N165" s="52" t="b">
        <f t="shared" si="14"/>
        <v>0</v>
      </c>
      <c r="O165" s="52" t="b">
        <f t="shared" si="15"/>
        <v>0</v>
      </c>
      <c r="P165" s="52" t="b">
        <f t="shared" si="16"/>
        <v>0</v>
      </c>
      <c r="Q165" s="52" t="b">
        <f t="shared" si="17"/>
        <v>0</v>
      </c>
      <c r="R165" s="52" t="b">
        <f t="shared" si="18"/>
        <v>0</v>
      </c>
      <c r="S165" s="52" t="b">
        <f t="shared" si="19"/>
        <v>0</v>
      </c>
      <c r="T165" s="52" t="b">
        <f t="shared" si="20"/>
        <v>0</v>
      </c>
    </row>
    <row r="166" spans="3:20" x14ac:dyDescent="0.2">
      <c r="C166" s="36" t="s">
        <v>52</v>
      </c>
      <c r="D166" s="46" t="s">
        <v>325</v>
      </c>
      <c r="E166" s="47" t="s">
        <v>326</v>
      </c>
      <c r="F166" s="47"/>
      <c r="G166" s="47"/>
      <c r="H166" s="47"/>
      <c r="I166" s="47"/>
      <c r="J166" s="47"/>
      <c r="K166" s="47"/>
      <c r="L166" s="48"/>
      <c r="M166" s="77"/>
      <c r="N166" s="52" t="str">
        <f t="shared" si="14"/>
        <v>18.5.</v>
      </c>
      <c r="O166" s="52" t="str">
        <f t="shared" si="15"/>
        <v>44.2 / 44.3</v>
      </c>
      <c r="P166" s="52" t="str">
        <f t="shared" si="16"/>
        <v>Расходы на реализацию в торговле / Управленческие расходы в торговле</v>
      </c>
      <c r="Q166" s="52">
        <f t="shared" si="17"/>
        <v>243</v>
      </c>
      <c r="R166" s="52" t="str">
        <f t="shared" si="18"/>
        <v>Услуги по хранению на СВХ</v>
      </c>
      <c r="S166" s="52" t="str">
        <f t="shared" si="19"/>
        <v>Элементы затрат</v>
      </c>
      <c r="T166" s="52" t="str">
        <f t="shared" si="20"/>
        <v>услуги по хранению на СВХ</v>
      </c>
    </row>
    <row r="167" spans="3:20" ht="22.5" x14ac:dyDescent="0.2">
      <c r="C167" s="36" t="s">
        <v>1087</v>
      </c>
      <c r="D167" s="61" t="s">
        <v>125</v>
      </c>
      <c r="E167" s="61"/>
      <c r="F167" s="62" t="s">
        <v>126</v>
      </c>
      <c r="G167" s="62">
        <v>243</v>
      </c>
      <c r="H167" s="62" t="s">
        <v>327</v>
      </c>
      <c r="I167" s="62" t="s">
        <v>127</v>
      </c>
      <c r="J167" s="62" t="s">
        <v>128</v>
      </c>
      <c r="K167" s="62" t="s">
        <v>129</v>
      </c>
      <c r="L167" s="72"/>
      <c r="M167" s="73"/>
      <c r="N167" s="52" t="b">
        <f t="shared" si="14"/>
        <v>0</v>
      </c>
      <c r="O167" s="52" t="b">
        <f t="shared" si="15"/>
        <v>0</v>
      </c>
      <c r="P167" s="52" t="b">
        <f t="shared" si="16"/>
        <v>0</v>
      </c>
      <c r="Q167" s="52" t="b">
        <f t="shared" si="17"/>
        <v>0</v>
      </c>
      <c r="R167" s="52" t="b">
        <f t="shared" si="18"/>
        <v>0</v>
      </c>
      <c r="S167" s="52" t="b">
        <f t="shared" si="19"/>
        <v>0</v>
      </c>
      <c r="T167" s="52" t="b">
        <f t="shared" si="20"/>
        <v>0</v>
      </c>
    </row>
    <row r="168" spans="3:20" ht="22.5" hidden="1" x14ac:dyDescent="0.2">
      <c r="C168" s="35"/>
      <c r="D168" s="35" t="s">
        <v>98</v>
      </c>
      <c r="E168" s="35" t="s">
        <v>99</v>
      </c>
      <c r="F168" s="35" t="s">
        <v>100</v>
      </c>
      <c r="G168" s="35" t="s">
        <v>101</v>
      </c>
      <c r="H168" s="35" t="s">
        <v>102</v>
      </c>
      <c r="I168" s="35" t="s">
        <v>103</v>
      </c>
      <c r="J168" s="35" t="s">
        <v>104</v>
      </c>
      <c r="K168" s="35" t="s">
        <v>105</v>
      </c>
      <c r="L168" s="35" t="s">
        <v>106</v>
      </c>
      <c r="M168" s="35" t="s">
        <v>107</v>
      </c>
      <c r="N168" s="52" t="b">
        <f t="shared" si="14"/>
        <v>0</v>
      </c>
      <c r="O168" s="52" t="b">
        <f t="shared" si="15"/>
        <v>0</v>
      </c>
      <c r="P168" s="52" t="b">
        <f t="shared" si="16"/>
        <v>0</v>
      </c>
      <c r="Q168" s="52" t="b">
        <f t="shared" si="17"/>
        <v>0</v>
      </c>
      <c r="R168" s="52" t="b">
        <f t="shared" si="18"/>
        <v>0</v>
      </c>
      <c r="S168" s="52" t="b">
        <f t="shared" si="19"/>
        <v>0</v>
      </c>
      <c r="T168" s="52" t="b">
        <f t="shared" si="20"/>
        <v>0</v>
      </c>
    </row>
    <row r="169" spans="3:20" ht="22.5" x14ac:dyDescent="0.2">
      <c r="C169" s="36" t="s">
        <v>52</v>
      </c>
      <c r="D169" s="37">
        <v>19</v>
      </c>
      <c r="E169" s="38" t="s">
        <v>328</v>
      </c>
      <c r="F169" s="38"/>
      <c r="G169" s="38"/>
      <c r="H169" s="38"/>
      <c r="I169" s="38"/>
      <c r="J169" s="38"/>
      <c r="K169" s="38"/>
      <c r="L169" s="39"/>
      <c r="M169" s="39"/>
      <c r="N169" s="52" t="b">
        <f t="shared" si="14"/>
        <v>0</v>
      </c>
      <c r="O169" s="52" t="b">
        <f t="shared" si="15"/>
        <v>0</v>
      </c>
      <c r="P169" s="52" t="b">
        <f t="shared" si="16"/>
        <v>0</v>
      </c>
      <c r="Q169" s="52" t="b">
        <f t="shared" si="17"/>
        <v>0</v>
      </c>
      <c r="R169" s="52" t="b">
        <f t="shared" si="18"/>
        <v>0</v>
      </c>
      <c r="S169" s="52" t="b">
        <f t="shared" si="19"/>
        <v>0</v>
      </c>
      <c r="T169" s="52" t="b">
        <f t="shared" si="20"/>
        <v>0</v>
      </c>
    </row>
    <row r="170" spans="3:20" x14ac:dyDescent="0.2">
      <c r="C170" s="36" t="s">
        <v>52</v>
      </c>
      <c r="D170" s="46"/>
      <c r="E170" s="47" t="s">
        <v>19</v>
      </c>
      <c r="F170" s="47"/>
      <c r="G170" s="47"/>
      <c r="H170" s="47"/>
      <c r="I170" s="47"/>
      <c r="J170" s="47"/>
      <c r="K170" s="47"/>
      <c r="L170" s="48"/>
      <c r="M170" s="48" t="s">
        <v>329</v>
      </c>
      <c r="N170" s="52" t="b">
        <f t="shared" si="14"/>
        <v>0</v>
      </c>
      <c r="O170" s="52" t="b">
        <f t="shared" si="15"/>
        <v>0</v>
      </c>
      <c r="P170" s="52" t="b">
        <f t="shared" si="16"/>
        <v>0</v>
      </c>
      <c r="Q170" s="52" t="b">
        <f t="shared" si="17"/>
        <v>0</v>
      </c>
      <c r="R170" s="52" t="b">
        <f t="shared" si="18"/>
        <v>0</v>
      </c>
      <c r="S170" s="52" t="b">
        <f t="shared" si="19"/>
        <v>0</v>
      </c>
      <c r="T170" s="52" t="b">
        <f t="shared" si="20"/>
        <v>0</v>
      </c>
    </row>
    <row r="171" spans="3:20" x14ac:dyDescent="0.2">
      <c r="C171" s="36" t="s">
        <v>52</v>
      </c>
      <c r="D171" s="46"/>
      <c r="E171" s="47" t="s">
        <v>112</v>
      </c>
      <c r="F171" s="47"/>
      <c r="G171" s="47"/>
      <c r="H171" s="47"/>
      <c r="I171" s="47"/>
      <c r="J171" s="47"/>
      <c r="K171" s="47"/>
      <c r="L171" s="48"/>
      <c r="M171" s="48" t="s">
        <v>330</v>
      </c>
      <c r="N171" s="52" t="b">
        <f t="shared" si="14"/>
        <v>0</v>
      </c>
      <c r="O171" s="52" t="b">
        <f t="shared" si="15"/>
        <v>0</v>
      </c>
      <c r="P171" s="52" t="b">
        <f t="shared" si="16"/>
        <v>0</v>
      </c>
      <c r="Q171" s="52" t="b">
        <f t="shared" si="17"/>
        <v>0</v>
      </c>
      <c r="R171" s="52" t="b">
        <f t="shared" si="18"/>
        <v>0</v>
      </c>
      <c r="S171" s="52" t="b">
        <f t="shared" si="19"/>
        <v>0</v>
      </c>
      <c r="T171" s="52" t="b">
        <f t="shared" si="20"/>
        <v>0</v>
      </c>
    </row>
    <row r="172" spans="3:20" x14ac:dyDescent="0.2">
      <c r="C172" s="36" t="s">
        <v>52</v>
      </c>
      <c r="D172" s="40" t="s">
        <v>331</v>
      </c>
      <c r="E172" s="41" t="s">
        <v>332</v>
      </c>
      <c r="F172" s="42"/>
      <c r="G172" s="41"/>
      <c r="H172" s="41"/>
      <c r="I172" s="41"/>
      <c r="J172" s="41"/>
      <c r="K172" s="41"/>
      <c r="L172" s="42"/>
      <c r="M172" s="42" t="s">
        <v>11</v>
      </c>
      <c r="N172" s="52" t="b">
        <f t="shared" si="14"/>
        <v>0</v>
      </c>
      <c r="O172" s="52" t="b">
        <f t="shared" si="15"/>
        <v>0</v>
      </c>
      <c r="P172" s="52" t="b">
        <f t="shared" si="16"/>
        <v>0</v>
      </c>
      <c r="Q172" s="52" t="b">
        <f t="shared" si="17"/>
        <v>0</v>
      </c>
      <c r="R172" s="52" t="b">
        <f t="shared" si="18"/>
        <v>0</v>
      </c>
      <c r="S172" s="52" t="b">
        <f t="shared" si="19"/>
        <v>0</v>
      </c>
      <c r="T172" s="52" t="b">
        <f t="shared" si="20"/>
        <v>0</v>
      </c>
    </row>
    <row r="173" spans="3:20" hidden="1" x14ac:dyDescent="0.2">
      <c r="C173" s="36"/>
      <c r="D173" s="61"/>
      <c r="E173" s="61"/>
      <c r="F173" s="62"/>
      <c r="G173" s="62"/>
      <c r="H173" s="62"/>
      <c r="I173" s="62"/>
      <c r="J173" s="62"/>
      <c r="K173" s="62"/>
      <c r="L173" s="72"/>
      <c r="M173" s="73"/>
      <c r="N173" s="52" t="b">
        <f t="shared" si="14"/>
        <v>0</v>
      </c>
      <c r="O173" s="52" t="b">
        <f t="shared" si="15"/>
        <v>0</v>
      </c>
      <c r="P173" s="52" t="b">
        <f t="shared" si="16"/>
        <v>0</v>
      </c>
      <c r="Q173" s="52" t="b">
        <f t="shared" si="17"/>
        <v>0</v>
      </c>
      <c r="R173" s="52" t="b">
        <f t="shared" si="18"/>
        <v>0</v>
      </c>
      <c r="S173" s="52" t="b">
        <f t="shared" si="19"/>
        <v>0</v>
      </c>
      <c r="T173" s="52" t="b">
        <f t="shared" si="20"/>
        <v>0</v>
      </c>
    </row>
    <row r="174" spans="3:20" ht="43.9" customHeight="1" x14ac:dyDescent="0.2">
      <c r="C174" s="36" t="s">
        <v>52</v>
      </c>
      <c r="D174" s="46" t="s">
        <v>333</v>
      </c>
      <c r="E174" s="47" t="s">
        <v>334</v>
      </c>
      <c r="F174" s="47"/>
      <c r="G174" s="47"/>
      <c r="H174" s="47"/>
      <c r="I174" s="47"/>
      <c r="J174" s="47"/>
      <c r="K174" s="47"/>
      <c r="L174" s="48"/>
      <c r="M174" s="77" t="s">
        <v>335</v>
      </c>
      <c r="N174" s="52" t="b">
        <f t="shared" si="14"/>
        <v>0</v>
      </c>
      <c r="O174" s="52" t="b">
        <f t="shared" si="15"/>
        <v>0</v>
      </c>
      <c r="P174" s="52" t="b">
        <f t="shared" si="16"/>
        <v>0</v>
      </c>
      <c r="Q174" s="52" t="b">
        <f t="shared" si="17"/>
        <v>0</v>
      </c>
      <c r="R174" s="52" t="b">
        <f t="shared" si="18"/>
        <v>0</v>
      </c>
      <c r="S174" s="52" t="b">
        <f t="shared" si="19"/>
        <v>0</v>
      </c>
      <c r="T174" s="52" t="b">
        <f t="shared" si="20"/>
        <v>0</v>
      </c>
    </row>
    <row r="175" spans="3:20" x14ac:dyDescent="0.2">
      <c r="C175" s="36" t="s">
        <v>52</v>
      </c>
      <c r="D175" s="46" t="s">
        <v>336</v>
      </c>
      <c r="E175" s="47" t="s">
        <v>337</v>
      </c>
      <c r="F175" s="47"/>
      <c r="G175" s="47"/>
      <c r="H175" s="47"/>
      <c r="I175" s="47"/>
      <c r="J175" s="47"/>
      <c r="K175" s="47"/>
      <c r="L175" s="48"/>
      <c r="M175" s="77"/>
      <c r="N175" s="52" t="str">
        <f t="shared" si="14"/>
        <v>19.2.1.</v>
      </c>
      <c r="O175" s="52" t="str">
        <f t="shared" si="15"/>
        <v>44.2 / 44.3</v>
      </c>
      <c r="P175" s="52" t="str">
        <f t="shared" si="16"/>
        <v>Расходы на реализацию в торговле / Управленческие расходы в торговле</v>
      </c>
      <c r="Q175" s="52">
        <f t="shared" si="17"/>
        <v>193</v>
      </c>
      <c r="R175" s="52" t="str">
        <f t="shared" si="18"/>
        <v>Лабораторные исследования</v>
      </c>
      <c r="S175" s="52" t="str">
        <f t="shared" si="19"/>
        <v>Элементы затрат</v>
      </c>
      <c r="T175" s="52" t="str">
        <f t="shared" si="20"/>
        <v>Лабораторные исследования</v>
      </c>
    </row>
    <row r="176" spans="3:20" ht="22.5" x14ac:dyDescent="0.2">
      <c r="C176" s="36" t="s">
        <v>1087</v>
      </c>
      <c r="D176" s="61" t="s">
        <v>125</v>
      </c>
      <c r="E176" s="61"/>
      <c r="F176" s="62" t="s">
        <v>126</v>
      </c>
      <c r="G176" s="62">
        <v>193</v>
      </c>
      <c r="H176" s="62" t="s">
        <v>337</v>
      </c>
      <c r="I176" s="62" t="s">
        <v>127</v>
      </c>
      <c r="J176" s="62" t="s">
        <v>128</v>
      </c>
      <c r="K176" s="62" t="s">
        <v>129</v>
      </c>
      <c r="L176" s="72"/>
      <c r="M176" s="73"/>
      <c r="N176" s="52" t="b">
        <f t="shared" si="14"/>
        <v>0</v>
      </c>
      <c r="O176" s="52" t="b">
        <f t="shared" si="15"/>
        <v>0</v>
      </c>
      <c r="P176" s="52" t="b">
        <f t="shared" si="16"/>
        <v>0</v>
      </c>
      <c r="Q176" s="52" t="b">
        <f t="shared" si="17"/>
        <v>0</v>
      </c>
      <c r="R176" s="52" t="b">
        <f t="shared" si="18"/>
        <v>0</v>
      </c>
      <c r="S176" s="52" t="b">
        <f t="shared" si="19"/>
        <v>0</v>
      </c>
      <c r="T176" s="52" t="b">
        <f t="shared" si="20"/>
        <v>0</v>
      </c>
    </row>
    <row r="177" spans="3:20" x14ac:dyDescent="0.2">
      <c r="C177" s="36" t="s">
        <v>52</v>
      </c>
      <c r="D177" s="46" t="s">
        <v>338</v>
      </c>
      <c r="E177" s="47" t="s">
        <v>339</v>
      </c>
      <c r="F177" s="47"/>
      <c r="G177" s="47"/>
      <c r="H177" s="47"/>
      <c r="I177" s="47"/>
      <c r="J177" s="47"/>
      <c r="K177" s="47"/>
      <c r="L177" s="48"/>
      <c r="M177" s="77"/>
      <c r="N177" s="52" t="str">
        <f t="shared" si="14"/>
        <v>19.2.2.</v>
      </c>
      <c r="O177" s="52" t="str">
        <f t="shared" si="15"/>
        <v>44.2 / 44.3</v>
      </c>
      <c r="P177" s="52" t="str">
        <f t="shared" si="16"/>
        <v>Расходы на реализацию в торговле / Управленческие расходы в торговле</v>
      </c>
      <c r="Q177" s="52">
        <f t="shared" si="17"/>
        <v>194</v>
      </c>
      <c r="R177" s="52" t="str">
        <f t="shared" si="18"/>
        <v>Услуги по сертификации</v>
      </c>
      <c r="S177" s="52" t="str">
        <f t="shared" si="19"/>
        <v>Элементы затрат</v>
      </c>
      <c r="T177" s="52" t="str">
        <f t="shared" si="20"/>
        <v>Услуги по сертификации</v>
      </c>
    </row>
    <row r="178" spans="3:20" ht="22.5" x14ac:dyDescent="0.2">
      <c r="C178" s="36" t="s">
        <v>1087</v>
      </c>
      <c r="D178" s="61" t="s">
        <v>125</v>
      </c>
      <c r="E178" s="61"/>
      <c r="F178" s="62" t="s">
        <v>126</v>
      </c>
      <c r="G178" s="62">
        <v>194</v>
      </c>
      <c r="H178" s="62" t="s">
        <v>339</v>
      </c>
      <c r="I178" s="62" t="s">
        <v>127</v>
      </c>
      <c r="J178" s="62" t="s">
        <v>128</v>
      </c>
      <c r="K178" s="62" t="s">
        <v>129</v>
      </c>
      <c r="L178" s="72"/>
      <c r="M178" s="73"/>
      <c r="N178" s="52" t="b">
        <f t="shared" si="14"/>
        <v>0</v>
      </c>
      <c r="O178" s="52" t="b">
        <f t="shared" si="15"/>
        <v>0</v>
      </c>
      <c r="P178" s="52" t="b">
        <f t="shared" si="16"/>
        <v>0</v>
      </c>
      <c r="Q178" s="52" t="b">
        <f t="shared" si="17"/>
        <v>0</v>
      </c>
      <c r="R178" s="52" t="b">
        <f t="shared" si="18"/>
        <v>0</v>
      </c>
      <c r="S178" s="52" t="b">
        <f t="shared" si="19"/>
        <v>0</v>
      </c>
      <c r="T178" s="52" t="b">
        <f t="shared" si="20"/>
        <v>0</v>
      </c>
    </row>
    <row r="179" spans="3:20" ht="57" customHeight="1" x14ac:dyDescent="0.2">
      <c r="C179" s="36" t="s">
        <v>52</v>
      </c>
      <c r="D179" s="46" t="s">
        <v>340</v>
      </c>
      <c r="E179" s="47" t="s">
        <v>341</v>
      </c>
      <c r="F179" s="47"/>
      <c r="G179" s="47"/>
      <c r="H179" s="47"/>
      <c r="I179" s="47"/>
      <c r="J179" s="47"/>
      <c r="K179" s="47"/>
      <c r="L179" s="48"/>
      <c r="M179" s="77" t="s">
        <v>342</v>
      </c>
      <c r="N179" s="52" t="str">
        <f t="shared" si="14"/>
        <v>19.3.</v>
      </c>
      <c r="O179" s="52" t="str">
        <f t="shared" si="15"/>
        <v>44.2 / 44.3</v>
      </c>
      <c r="P179" s="52" t="str">
        <f t="shared" si="16"/>
        <v>Расходы на реализацию в торговле / Управленческие расходы в торговле</v>
      </c>
      <c r="Q179" s="52">
        <f t="shared" si="17"/>
        <v>78</v>
      </c>
      <c r="R179" s="52" t="str">
        <f t="shared" si="18"/>
        <v>Метрологические услуги</v>
      </c>
      <c r="S179" s="52" t="str">
        <f t="shared" si="19"/>
        <v>Элементы затрат</v>
      </c>
      <c r="T179" s="52" t="str">
        <f t="shared" si="20"/>
        <v xml:space="preserve">СИИР торгового оборудования (весов) </v>
      </c>
    </row>
    <row r="180" spans="3:20" ht="22.5" x14ac:dyDescent="0.2">
      <c r="C180" s="36" t="s">
        <v>1087</v>
      </c>
      <c r="D180" s="61" t="s">
        <v>125</v>
      </c>
      <c r="E180" s="61"/>
      <c r="F180" s="62" t="s">
        <v>126</v>
      </c>
      <c r="G180" s="62">
        <v>78</v>
      </c>
      <c r="H180" s="62" t="s">
        <v>343</v>
      </c>
      <c r="I180" s="62" t="s">
        <v>127</v>
      </c>
      <c r="J180" s="62" t="s">
        <v>128</v>
      </c>
      <c r="K180" s="62" t="s">
        <v>129</v>
      </c>
      <c r="L180" s="72"/>
      <c r="M180" s="73"/>
      <c r="N180" s="52" t="b">
        <f t="shared" si="14"/>
        <v>0</v>
      </c>
      <c r="O180" s="52" t="b">
        <f t="shared" si="15"/>
        <v>0</v>
      </c>
      <c r="P180" s="52" t="b">
        <f t="shared" si="16"/>
        <v>0</v>
      </c>
      <c r="Q180" s="52" t="b">
        <f t="shared" si="17"/>
        <v>0</v>
      </c>
      <c r="R180" s="52" t="b">
        <f t="shared" si="18"/>
        <v>0</v>
      </c>
      <c r="S180" s="52" t="b">
        <f t="shared" si="19"/>
        <v>0</v>
      </c>
      <c r="T180" s="52" t="b">
        <f t="shared" si="20"/>
        <v>0</v>
      </c>
    </row>
    <row r="181" spans="3:20" ht="22.5" hidden="1" x14ac:dyDescent="0.2">
      <c r="C181" s="35"/>
      <c r="D181" s="35" t="s">
        <v>98</v>
      </c>
      <c r="E181" s="35" t="s">
        <v>99</v>
      </c>
      <c r="F181" s="35" t="s">
        <v>100</v>
      </c>
      <c r="G181" s="35" t="s">
        <v>101</v>
      </c>
      <c r="H181" s="35" t="s">
        <v>102</v>
      </c>
      <c r="I181" s="35" t="s">
        <v>103</v>
      </c>
      <c r="J181" s="35" t="s">
        <v>104</v>
      </c>
      <c r="K181" s="35" t="s">
        <v>105</v>
      </c>
      <c r="L181" s="35" t="s">
        <v>106</v>
      </c>
      <c r="M181" s="35" t="s">
        <v>107</v>
      </c>
      <c r="N181" s="52" t="b">
        <f t="shared" si="14"/>
        <v>0</v>
      </c>
      <c r="O181" s="52" t="b">
        <f t="shared" si="15"/>
        <v>0</v>
      </c>
      <c r="P181" s="52" t="b">
        <f t="shared" si="16"/>
        <v>0</v>
      </c>
      <c r="Q181" s="52" t="b">
        <f t="shared" si="17"/>
        <v>0</v>
      </c>
      <c r="R181" s="52" t="b">
        <f t="shared" si="18"/>
        <v>0</v>
      </c>
      <c r="S181" s="52" t="b">
        <f t="shared" si="19"/>
        <v>0</v>
      </c>
      <c r="T181" s="52" t="b">
        <f t="shared" si="20"/>
        <v>0</v>
      </c>
    </row>
    <row r="182" spans="3:20" x14ac:dyDescent="0.2">
      <c r="C182" s="36" t="s">
        <v>52</v>
      </c>
      <c r="D182" s="37">
        <v>20</v>
      </c>
      <c r="E182" s="38" t="s">
        <v>344</v>
      </c>
      <c r="F182" s="38"/>
      <c r="G182" s="38"/>
      <c r="H182" s="38"/>
      <c r="I182" s="38"/>
      <c r="J182" s="38"/>
      <c r="K182" s="38"/>
      <c r="L182" s="39"/>
      <c r="M182" s="39"/>
      <c r="N182" s="52" t="b">
        <f t="shared" si="14"/>
        <v>0</v>
      </c>
      <c r="O182" s="52" t="b">
        <f t="shared" si="15"/>
        <v>0</v>
      </c>
      <c r="P182" s="52" t="b">
        <f t="shared" si="16"/>
        <v>0</v>
      </c>
      <c r="Q182" s="52" t="b">
        <f t="shared" si="17"/>
        <v>0</v>
      </c>
      <c r="R182" s="52" t="b">
        <f t="shared" si="18"/>
        <v>0</v>
      </c>
      <c r="S182" s="52" t="b">
        <f t="shared" si="19"/>
        <v>0</v>
      </c>
      <c r="T182" s="52" t="b">
        <f t="shared" si="20"/>
        <v>0</v>
      </c>
    </row>
    <row r="183" spans="3:20" x14ac:dyDescent="0.2">
      <c r="C183" s="36" t="s">
        <v>52</v>
      </c>
      <c r="D183" s="46"/>
      <c r="E183" s="47" t="s">
        <v>19</v>
      </c>
      <c r="F183" s="47"/>
      <c r="G183" s="47"/>
      <c r="H183" s="47"/>
      <c r="I183" s="47"/>
      <c r="J183" s="47"/>
      <c r="K183" s="47"/>
      <c r="L183" s="48"/>
      <c r="M183" s="48" t="s">
        <v>345</v>
      </c>
      <c r="N183" s="52" t="b">
        <f t="shared" si="14"/>
        <v>0</v>
      </c>
      <c r="O183" s="52" t="b">
        <f t="shared" si="15"/>
        <v>0</v>
      </c>
      <c r="P183" s="52" t="b">
        <f t="shared" si="16"/>
        <v>0</v>
      </c>
      <c r="Q183" s="52" t="b">
        <f t="shared" si="17"/>
        <v>0</v>
      </c>
      <c r="R183" s="52" t="b">
        <f t="shared" si="18"/>
        <v>0</v>
      </c>
      <c r="S183" s="52" t="b">
        <f t="shared" si="19"/>
        <v>0</v>
      </c>
      <c r="T183" s="52" t="b">
        <f t="shared" si="20"/>
        <v>0</v>
      </c>
    </row>
    <row r="184" spans="3:20" x14ac:dyDescent="0.2">
      <c r="C184" s="36" t="s">
        <v>52</v>
      </c>
      <c r="D184" s="46"/>
      <c r="E184" s="47" t="s">
        <v>112</v>
      </c>
      <c r="F184" s="47"/>
      <c r="G184" s="47"/>
      <c r="H184" s="47"/>
      <c r="I184" s="47"/>
      <c r="J184" s="47"/>
      <c r="K184" s="47"/>
      <c r="L184" s="48"/>
      <c r="M184" s="48" t="s">
        <v>346</v>
      </c>
      <c r="N184" s="52" t="b">
        <f t="shared" si="14"/>
        <v>0</v>
      </c>
      <c r="O184" s="52" t="b">
        <f t="shared" si="15"/>
        <v>0</v>
      </c>
      <c r="P184" s="52" t="b">
        <f t="shared" si="16"/>
        <v>0</v>
      </c>
      <c r="Q184" s="52" t="b">
        <f t="shared" si="17"/>
        <v>0</v>
      </c>
      <c r="R184" s="52" t="b">
        <f t="shared" si="18"/>
        <v>0</v>
      </c>
      <c r="S184" s="52" t="b">
        <f t="shared" si="19"/>
        <v>0</v>
      </c>
      <c r="T184" s="52" t="b">
        <f t="shared" si="20"/>
        <v>0</v>
      </c>
    </row>
    <row r="185" spans="3:20" ht="22.5" x14ac:dyDescent="0.2">
      <c r="C185" s="36" t="s">
        <v>52</v>
      </c>
      <c r="D185" s="46" t="s">
        <v>347</v>
      </c>
      <c r="E185" s="47" t="s">
        <v>348</v>
      </c>
      <c r="F185" s="47" t="s">
        <v>67</v>
      </c>
      <c r="G185" s="47"/>
      <c r="H185" s="47"/>
      <c r="I185" s="47"/>
      <c r="J185" s="47"/>
      <c r="K185" s="47"/>
      <c r="L185" s="48"/>
      <c r="M185" s="77" t="s">
        <v>349</v>
      </c>
      <c r="N185" s="52" t="b">
        <f t="shared" si="14"/>
        <v>0</v>
      </c>
      <c r="O185" s="52" t="b">
        <f t="shared" si="15"/>
        <v>0</v>
      </c>
      <c r="P185" s="52" t="b">
        <f t="shared" si="16"/>
        <v>0</v>
      </c>
      <c r="Q185" s="52" t="b">
        <f t="shared" si="17"/>
        <v>0</v>
      </c>
      <c r="R185" s="52" t="b">
        <f t="shared" si="18"/>
        <v>0</v>
      </c>
      <c r="S185" s="52" t="b">
        <f t="shared" si="19"/>
        <v>0</v>
      </c>
      <c r="T185" s="52" t="b">
        <f t="shared" si="20"/>
        <v>0</v>
      </c>
    </row>
    <row r="186" spans="3:20" x14ac:dyDescent="0.2">
      <c r="C186" s="36" t="s">
        <v>52</v>
      </c>
      <c r="D186" s="46" t="s">
        <v>350</v>
      </c>
      <c r="E186" s="47" t="s">
        <v>348</v>
      </c>
      <c r="F186" s="47"/>
      <c r="G186" s="47"/>
      <c r="H186" s="47"/>
      <c r="I186" s="47"/>
      <c r="J186" s="47"/>
      <c r="K186" s="47"/>
      <c r="L186" s="48"/>
      <c r="M186" s="48"/>
      <c r="N186" s="52" t="str">
        <f t="shared" si="14"/>
        <v>20.1.1.</v>
      </c>
      <c r="O186" s="52" t="str">
        <f t="shared" si="15"/>
        <v>44.2 / 44.3</v>
      </c>
      <c r="P186" s="52" t="str">
        <f t="shared" si="16"/>
        <v>Расходы на реализацию в торговле / Управленческие расходы в торговле</v>
      </c>
      <c r="Q186" s="52">
        <f t="shared" si="17"/>
        <v>66</v>
      </c>
      <c r="R186" s="52" t="str">
        <f t="shared" si="18"/>
        <v>Земельный налог</v>
      </c>
      <c r="S186" s="52" t="str">
        <f t="shared" si="19"/>
        <v>Элементы затрат</v>
      </c>
      <c r="T186" s="52" t="str">
        <f t="shared" si="20"/>
        <v>Земельный налог</v>
      </c>
    </row>
    <row r="187" spans="3:20" ht="22.5" x14ac:dyDescent="0.2">
      <c r="C187" s="36" t="s">
        <v>1087</v>
      </c>
      <c r="D187" s="61" t="s">
        <v>125</v>
      </c>
      <c r="E187" s="61"/>
      <c r="F187" s="62" t="s">
        <v>126</v>
      </c>
      <c r="G187" s="62">
        <v>66</v>
      </c>
      <c r="H187" s="62" t="s">
        <v>348</v>
      </c>
      <c r="I187" s="62" t="s">
        <v>127</v>
      </c>
      <c r="J187" s="62" t="s">
        <v>128</v>
      </c>
      <c r="K187" s="62" t="s">
        <v>129</v>
      </c>
      <c r="L187" s="72"/>
      <c r="M187" s="73"/>
      <c r="N187" s="52" t="b">
        <f t="shared" si="14"/>
        <v>0</v>
      </c>
      <c r="O187" s="52" t="b">
        <f t="shared" si="15"/>
        <v>0</v>
      </c>
      <c r="P187" s="52" t="b">
        <f t="shared" si="16"/>
        <v>0</v>
      </c>
      <c r="Q187" s="52" t="b">
        <f t="shared" si="17"/>
        <v>0</v>
      </c>
      <c r="R187" s="52" t="b">
        <f t="shared" si="18"/>
        <v>0</v>
      </c>
      <c r="S187" s="52" t="b">
        <f t="shared" si="19"/>
        <v>0</v>
      </c>
      <c r="T187" s="52" t="b">
        <f t="shared" si="20"/>
        <v>0</v>
      </c>
    </row>
    <row r="188" spans="3:20" ht="22.5" x14ac:dyDescent="0.2">
      <c r="C188" s="36" t="s">
        <v>52</v>
      </c>
      <c r="D188" s="46" t="s">
        <v>351</v>
      </c>
      <c r="E188" s="47" t="s">
        <v>352</v>
      </c>
      <c r="F188" s="47"/>
      <c r="G188" s="47"/>
      <c r="H188" s="47"/>
      <c r="I188" s="47"/>
      <c r="J188" s="47"/>
      <c r="K188" s="47"/>
      <c r="L188" s="48"/>
      <c r="M188" s="48"/>
      <c r="N188" s="52" t="str">
        <f t="shared" si="14"/>
        <v>20.1.2.</v>
      </c>
      <c r="O188" s="52" t="str">
        <f t="shared" si="15"/>
        <v>90.10.1 / 90.10.11</v>
      </c>
      <c r="P188" s="52" t="str">
        <f t="shared" si="16"/>
        <v>Прочие расходы по текущей деятельности / -||- (по местам хранения)</v>
      </c>
      <c r="Q188" s="52">
        <f t="shared" si="17"/>
        <v>119</v>
      </c>
      <c r="R188" s="52" t="str">
        <f t="shared" si="18"/>
        <v>Земельный налог (аренда земли), н/у при н/обл.</v>
      </c>
      <c r="S188" s="52" t="str">
        <f t="shared" si="19"/>
        <v>Виды прочих расходов</v>
      </c>
      <c r="T188" s="52" t="str">
        <f t="shared" si="20"/>
        <v>Земельный налог (аренда земли), н/у при н/обл.</v>
      </c>
    </row>
    <row r="189" spans="3:20" ht="33.75" x14ac:dyDescent="0.2">
      <c r="C189" s="36" t="s">
        <v>1087</v>
      </c>
      <c r="D189" s="62" t="s">
        <v>132</v>
      </c>
      <c r="E189" s="62"/>
      <c r="F189" s="62" t="s">
        <v>133</v>
      </c>
      <c r="G189" s="62">
        <v>119</v>
      </c>
      <c r="H189" s="62" t="s">
        <v>352</v>
      </c>
      <c r="I189" s="62" t="s">
        <v>134</v>
      </c>
      <c r="J189" s="62" t="s">
        <v>135</v>
      </c>
      <c r="K189" s="62" t="s">
        <v>129</v>
      </c>
      <c r="L189" s="72"/>
      <c r="M189" s="73"/>
      <c r="N189" s="52" t="b">
        <f t="shared" si="14"/>
        <v>0</v>
      </c>
      <c r="O189" s="52" t="b">
        <f t="shared" si="15"/>
        <v>0</v>
      </c>
      <c r="P189" s="52" t="b">
        <f t="shared" si="16"/>
        <v>0</v>
      </c>
      <c r="Q189" s="52" t="b">
        <f t="shared" si="17"/>
        <v>0</v>
      </c>
      <c r="R189" s="52" t="b">
        <f t="shared" si="18"/>
        <v>0</v>
      </c>
      <c r="S189" s="52" t="b">
        <f t="shared" si="19"/>
        <v>0</v>
      </c>
      <c r="T189" s="52" t="b">
        <f t="shared" si="20"/>
        <v>0</v>
      </c>
    </row>
    <row r="190" spans="3:20" ht="45" x14ac:dyDescent="0.2">
      <c r="C190" s="36" t="s">
        <v>52</v>
      </c>
      <c r="D190" s="46" t="s">
        <v>353</v>
      </c>
      <c r="E190" s="47" t="s">
        <v>354</v>
      </c>
      <c r="F190" s="47"/>
      <c r="G190" s="47"/>
      <c r="H190" s="47"/>
      <c r="I190" s="47"/>
      <c r="J190" s="47"/>
      <c r="K190" s="47"/>
      <c r="L190" s="48"/>
      <c r="M190" s="48" t="s">
        <v>355</v>
      </c>
      <c r="N190" s="52" t="str">
        <f t="shared" si="14"/>
        <v>20.2.</v>
      </c>
      <c r="O190" s="52" t="str">
        <f t="shared" si="15"/>
        <v>44.2 / 44.3</v>
      </c>
      <c r="P190" s="52" t="str">
        <f t="shared" si="16"/>
        <v>Расходы на реализацию в торговле / Управленческие расходы в торговле</v>
      </c>
      <c r="Q190" s="52">
        <f t="shared" si="17"/>
        <v>67</v>
      </c>
      <c r="R190" s="52" t="str">
        <f t="shared" si="18"/>
        <v>Налог на недвижимость</v>
      </c>
      <c r="S190" s="52" t="str">
        <f t="shared" si="19"/>
        <v>Элементы затрат</v>
      </c>
      <c r="T190" s="52" t="str">
        <f t="shared" si="20"/>
        <v>Налог на недвижимость</v>
      </c>
    </row>
    <row r="191" spans="3:20" ht="22.5" x14ac:dyDescent="0.2">
      <c r="C191" s="36" t="s">
        <v>1087</v>
      </c>
      <c r="D191" s="61" t="s">
        <v>125</v>
      </c>
      <c r="E191" s="61"/>
      <c r="F191" s="62" t="s">
        <v>126</v>
      </c>
      <c r="G191" s="62">
        <v>67</v>
      </c>
      <c r="H191" s="62" t="s">
        <v>354</v>
      </c>
      <c r="I191" s="62" t="s">
        <v>127</v>
      </c>
      <c r="J191" s="62" t="s">
        <v>128</v>
      </c>
      <c r="K191" s="62" t="s">
        <v>129</v>
      </c>
      <c r="L191" s="72"/>
      <c r="M191" s="73"/>
      <c r="N191" s="52" t="b">
        <f t="shared" si="14"/>
        <v>0</v>
      </c>
      <c r="O191" s="52" t="b">
        <f t="shared" si="15"/>
        <v>0</v>
      </c>
      <c r="P191" s="52" t="b">
        <f t="shared" si="16"/>
        <v>0</v>
      </c>
      <c r="Q191" s="52" t="b">
        <f t="shared" si="17"/>
        <v>0</v>
      </c>
      <c r="R191" s="52" t="b">
        <f t="shared" si="18"/>
        <v>0</v>
      </c>
      <c r="S191" s="52" t="b">
        <f t="shared" si="19"/>
        <v>0</v>
      </c>
      <c r="T191" s="52" t="b">
        <f t="shared" si="20"/>
        <v>0</v>
      </c>
    </row>
    <row r="192" spans="3:20" hidden="1" x14ac:dyDescent="0.2">
      <c r="C192" s="80"/>
      <c r="D192" s="80" t="s">
        <v>356</v>
      </c>
      <c r="E192" s="81"/>
      <c r="F192" s="81"/>
      <c r="G192" s="81"/>
      <c r="H192" s="81"/>
      <c r="I192" s="81"/>
      <c r="J192" s="81"/>
      <c r="K192" s="81"/>
      <c r="L192" s="81" t="s">
        <v>357</v>
      </c>
      <c r="M192" s="73"/>
      <c r="N192" s="52" t="b">
        <f t="shared" si="14"/>
        <v>0</v>
      </c>
      <c r="O192" s="52" t="b">
        <f t="shared" si="15"/>
        <v>0</v>
      </c>
      <c r="P192" s="52" t="b">
        <f t="shared" si="16"/>
        <v>0</v>
      </c>
      <c r="Q192" s="52" t="b">
        <f t="shared" si="17"/>
        <v>0</v>
      </c>
      <c r="R192" s="52" t="b">
        <f t="shared" si="18"/>
        <v>0</v>
      </c>
      <c r="S192" s="52" t="b">
        <f t="shared" si="19"/>
        <v>0</v>
      </c>
      <c r="T192" s="52" t="b">
        <f t="shared" si="20"/>
        <v>0</v>
      </c>
    </row>
    <row r="193" spans="3:20" ht="22.5" x14ac:dyDescent="0.2">
      <c r="C193" s="36" t="s">
        <v>52</v>
      </c>
      <c r="D193" s="80" t="s">
        <v>356</v>
      </c>
      <c r="E193" s="47" t="s">
        <v>358</v>
      </c>
      <c r="F193" s="47"/>
      <c r="G193" s="47"/>
      <c r="H193" s="47"/>
      <c r="I193" s="47"/>
      <c r="J193" s="47"/>
      <c r="K193" s="47"/>
      <c r="L193" s="48"/>
      <c r="M193" s="48" t="s">
        <v>359</v>
      </c>
      <c r="N193" s="52" t="b">
        <f t="shared" si="14"/>
        <v>0</v>
      </c>
      <c r="O193" s="52" t="b">
        <f t="shared" si="15"/>
        <v>0</v>
      </c>
      <c r="P193" s="52" t="b">
        <f t="shared" si="16"/>
        <v>0</v>
      </c>
      <c r="Q193" s="52" t="b">
        <f t="shared" si="17"/>
        <v>0</v>
      </c>
      <c r="R193" s="52" t="b">
        <f t="shared" si="18"/>
        <v>0</v>
      </c>
      <c r="S193" s="52" t="b">
        <f t="shared" si="19"/>
        <v>0</v>
      </c>
      <c r="T193" s="52" t="b">
        <f t="shared" si="20"/>
        <v>0</v>
      </c>
    </row>
    <row r="194" spans="3:20" hidden="1" x14ac:dyDescent="0.2">
      <c r="C194" s="80"/>
      <c r="D194" s="80" t="s">
        <v>356</v>
      </c>
      <c r="E194" s="81"/>
      <c r="F194" s="81"/>
      <c r="G194" s="81"/>
      <c r="H194" s="81"/>
      <c r="I194" s="81"/>
      <c r="J194" s="81"/>
      <c r="K194" s="81"/>
      <c r="L194" s="81" t="s">
        <v>360</v>
      </c>
      <c r="M194" s="73"/>
      <c r="N194" s="52" t="b">
        <f t="shared" si="14"/>
        <v>0</v>
      </c>
      <c r="O194" s="52" t="b">
        <f t="shared" si="15"/>
        <v>0</v>
      </c>
      <c r="P194" s="52" t="b">
        <f t="shared" si="16"/>
        <v>0</v>
      </c>
      <c r="Q194" s="52" t="b">
        <f t="shared" si="17"/>
        <v>0</v>
      </c>
      <c r="R194" s="52" t="b">
        <f t="shared" si="18"/>
        <v>0</v>
      </c>
      <c r="S194" s="52" t="b">
        <f t="shared" si="19"/>
        <v>0</v>
      </c>
      <c r="T194" s="52" t="b">
        <f t="shared" si="20"/>
        <v>0</v>
      </c>
    </row>
    <row r="195" spans="3:20" ht="33.75" x14ac:dyDescent="0.2">
      <c r="C195" s="36" t="s">
        <v>52</v>
      </c>
      <c r="D195" s="80" t="s">
        <v>356</v>
      </c>
      <c r="E195" s="47" t="s">
        <v>361</v>
      </c>
      <c r="F195" s="47" t="s">
        <v>67</v>
      </c>
      <c r="G195" s="47"/>
      <c r="H195" s="47"/>
      <c r="I195" s="47"/>
      <c r="J195" s="47"/>
      <c r="K195" s="47"/>
      <c r="L195" s="48"/>
      <c r="M195" s="48" t="s">
        <v>362</v>
      </c>
      <c r="N195" s="52" t="str">
        <f t="shared" ref="N195:N258" si="21">IF(AND($C195="Упр", $C196="1s"), D195)</f>
        <v>Excel</v>
      </c>
      <c r="O195" s="52" t="str">
        <f t="shared" ref="O195:O258" si="22">IF(AND($C195="Упр", $C196="1s"), D196)</f>
        <v>44.2 / 44.3</v>
      </c>
      <c r="P195" s="52" t="str">
        <f t="shared" ref="P195:P258" si="23">IF(AND($C195="Упр", $C196="1s"), F196)</f>
        <v>Расходы на реализацию в торговле / Управленческие расходы в торговле</v>
      </c>
      <c r="Q195" s="52">
        <f t="shared" ref="Q195:Q258" si="24">IF(AND($C195="Упр", $C196="1s"), G196)</f>
        <v>72</v>
      </c>
      <c r="R195" s="52" t="str">
        <f t="shared" ref="R195:R258" si="25">IF(AND($C195="Упр", $C196="1s"), H196)</f>
        <v>Экологический налог</v>
      </c>
      <c r="S195" s="52" t="str">
        <f t="shared" ref="S195:S258" si="26">IF(AND($C195="Упр", $C196="1s"), I196)</f>
        <v>Элементы затрат</v>
      </c>
      <c r="T195" s="52" t="str">
        <f t="shared" ref="T195:T258" si="27">IF(AND($C195="Упр", $C196="1s"), E195)</f>
        <v>Экологический налог</v>
      </c>
    </row>
    <row r="196" spans="3:20" ht="22.5" x14ac:dyDescent="0.2">
      <c r="C196" s="36" t="s">
        <v>1087</v>
      </c>
      <c r="D196" s="61" t="s">
        <v>125</v>
      </c>
      <c r="E196" s="61"/>
      <c r="F196" s="62" t="s">
        <v>126</v>
      </c>
      <c r="G196" s="62">
        <v>72</v>
      </c>
      <c r="H196" s="62" t="s">
        <v>361</v>
      </c>
      <c r="I196" s="62" t="s">
        <v>127</v>
      </c>
      <c r="J196" s="62" t="s">
        <v>128</v>
      </c>
      <c r="K196" s="62" t="s">
        <v>129</v>
      </c>
      <c r="L196" s="72"/>
      <c r="M196" s="73"/>
      <c r="N196" s="52" t="b">
        <f t="shared" si="21"/>
        <v>0</v>
      </c>
      <c r="O196" s="52" t="b">
        <f t="shared" si="22"/>
        <v>0</v>
      </c>
      <c r="P196" s="52" t="b">
        <f t="shared" si="23"/>
        <v>0</v>
      </c>
      <c r="Q196" s="52" t="b">
        <f t="shared" si="24"/>
        <v>0</v>
      </c>
      <c r="R196" s="52" t="b">
        <f t="shared" si="25"/>
        <v>0</v>
      </c>
      <c r="S196" s="52" t="b">
        <f t="shared" si="26"/>
        <v>0</v>
      </c>
      <c r="T196" s="52" t="b">
        <f t="shared" si="27"/>
        <v>0</v>
      </c>
    </row>
    <row r="197" spans="3:20" x14ac:dyDescent="0.2">
      <c r="C197" s="36" t="s">
        <v>52</v>
      </c>
      <c r="D197" s="40" t="s">
        <v>363</v>
      </c>
      <c r="E197" s="41" t="s">
        <v>262</v>
      </c>
      <c r="F197" s="42"/>
      <c r="G197" s="41"/>
      <c r="H197" s="41"/>
      <c r="I197" s="41"/>
      <c r="J197" s="41"/>
      <c r="K197" s="41"/>
      <c r="L197" s="42"/>
      <c r="M197" s="42" t="s">
        <v>11</v>
      </c>
      <c r="N197" s="52" t="b">
        <f t="shared" si="21"/>
        <v>0</v>
      </c>
      <c r="O197" s="52" t="b">
        <f t="shared" si="22"/>
        <v>0</v>
      </c>
      <c r="P197" s="52" t="b">
        <f t="shared" si="23"/>
        <v>0</v>
      </c>
      <c r="Q197" s="52" t="b">
        <f t="shared" si="24"/>
        <v>0</v>
      </c>
      <c r="R197" s="52" t="b">
        <f t="shared" si="25"/>
        <v>0</v>
      </c>
      <c r="S197" s="52" t="b">
        <f t="shared" si="26"/>
        <v>0</v>
      </c>
      <c r="T197" s="52" t="b">
        <f t="shared" si="27"/>
        <v>0</v>
      </c>
    </row>
    <row r="198" spans="3:20" x14ac:dyDescent="0.2">
      <c r="C198" s="36" t="s">
        <v>52</v>
      </c>
      <c r="D198" s="40" t="s">
        <v>364</v>
      </c>
      <c r="E198" s="41" t="s">
        <v>365</v>
      </c>
      <c r="F198" s="42"/>
      <c r="G198" s="41"/>
      <c r="H198" s="41"/>
      <c r="I198" s="41"/>
      <c r="J198" s="41"/>
      <c r="K198" s="41"/>
      <c r="L198" s="42"/>
      <c r="M198" s="42" t="s">
        <v>11</v>
      </c>
      <c r="N198" s="52" t="str">
        <f t="shared" si="21"/>
        <v>20.4.1.</v>
      </c>
      <c r="O198" s="52" t="str">
        <f t="shared" si="22"/>
        <v>44.2 / 44.3</v>
      </c>
      <c r="P198" s="52" t="str">
        <f t="shared" si="23"/>
        <v>Расходы на реализацию в торговле / Управленческие расходы в торговле</v>
      </c>
      <c r="Q198" s="52">
        <f t="shared" si="24"/>
        <v>69</v>
      </c>
      <c r="R198" s="52" t="str">
        <f t="shared" si="25"/>
        <v>Таможенные пошлины</v>
      </c>
      <c r="S198" s="52" t="str">
        <f t="shared" si="26"/>
        <v>Элементы затрат</v>
      </c>
      <c r="T198" s="52" t="str">
        <f t="shared" si="27"/>
        <v>Таможенные пошлины</v>
      </c>
    </row>
    <row r="199" spans="3:20" s="82" customFormat="1" ht="22.5" x14ac:dyDescent="0.2">
      <c r="C199" s="83" t="s">
        <v>1087</v>
      </c>
      <c r="D199" s="84" t="s">
        <v>125</v>
      </c>
      <c r="E199" s="84"/>
      <c r="F199" s="84" t="s">
        <v>126</v>
      </c>
      <c r="G199" s="84">
        <v>69</v>
      </c>
      <c r="H199" s="84" t="s">
        <v>365</v>
      </c>
      <c r="I199" s="84" t="s">
        <v>127</v>
      </c>
      <c r="J199" s="62" t="s">
        <v>128</v>
      </c>
      <c r="K199" s="62" t="s">
        <v>129</v>
      </c>
      <c r="L199" s="85"/>
      <c r="M199" s="85"/>
      <c r="N199" s="52" t="b">
        <f t="shared" si="21"/>
        <v>0</v>
      </c>
      <c r="O199" s="52" t="b">
        <f t="shared" si="22"/>
        <v>0</v>
      </c>
      <c r="P199" s="52" t="b">
        <f t="shared" si="23"/>
        <v>0</v>
      </c>
      <c r="Q199" s="52" t="b">
        <f t="shared" si="24"/>
        <v>0</v>
      </c>
      <c r="R199" s="52" t="b">
        <f t="shared" si="25"/>
        <v>0</v>
      </c>
      <c r="S199" s="52" t="b">
        <f t="shared" si="26"/>
        <v>0</v>
      </c>
      <c r="T199" s="52" t="b">
        <f t="shared" si="27"/>
        <v>0</v>
      </c>
    </row>
    <row r="200" spans="3:20" x14ac:dyDescent="0.2">
      <c r="C200" s="36" t="s">
        <v>52</v>
      </c>
      <c r="D200" s="40" t="s">
        <v>366</v>
      </c>
      <c r="E200" s="41" t="s">
        <v>367</v>
      </c>
      <c r="F200" s="42"/>
      <c r="G200" s="41"/>
      <c r="H200" s="41"/>
      <c r="I200" s="41"/>
      <c r="J200" s="41"/>
      <c r="K200" s="41"/>
      <c r="L200" s="42"/>
      <c r="M200" s="42" t="s">
        <v>11</v>
      </c>
      <c r="N200" s="52" t="str">
        <f t="shared" si="21"/>
        <v>20.4.2.</v>
      </c>
      <c r="O200" s="52" t="str">
        <f t="shared" si="22"/>
        <v>44.2 / 44.3</v>
      </c>
      <c r="P200" s="52" t="str">
        <f t="shared" si="23"/>
        <v>Расходы на реализацию в торговле / Управленческие расходы в торговле</v>
      </c>
      <c r="Q200" s="52">
        <f t="shared" si="24"/>
        <v>70</v>
      </c>
      <c r="R200" s="52" t="str">
        <f t="shared" si="25"/>
        <v>Таможенный сбор</v>
      </c>
      <c r="S200" s="52" t="str">
        <f t="shared" si="26"/>
        <v>Элементы затрат</v>
      </c>
      <c r="T200" s="52" t="str">
        <f t="shared" si="27"/>
        <v>Таможенный сбор</v>
      </c>
    </row>
    <row r="201" spans="3:20" ht="22.5" x14ac:dyDescent="0.2">
      <c r="C201" s="36" t="s">
        <v>1087</v>
      </c>
      <c r="D201" s="61" t="s">
        <v>125</v>
      </c>
      <c r="E201" s="61"/>
      <c r="F201" s="62" t="s">
        <v>126</v>
      </c>
      <c r="G201" s="62">
        <v>70</v>
      </c>
      <c r="H201" s="62" t="s">
        <v>367</v>
      </c>
      <c r="I201" s="62" t="s">
        <v>127</v>
      </c>
      <c r="J201" s="62" t="s">
        <v>128</v>
      </c>
      <c r="K201" s="62" t="s">
        <v>129</v>
      </c>
      <c r="L201" s="72"/>
      <c r="M201" s="72"/>
      <c r="N201" s="52" t="b">
        <f t="shared" si="21"/>
        <v>0</v>
      </c>
      <c r="O201" s="52" t="b">
        <f t="shared" si="22"/>
        <v>0</v>
      </c>
      <c r="P201" s="52" t="b">
        <f t="shared" si="23"/>
        <v>0</v>
      </c>
      <c r="Q201" s="52" t="b">
        <f t="shared" si="24"/>
        <v>0</v>
      </c>
      <c r="R201" s="52" t="b">
        <f t="shared" si="25"/>
        <v>0</v>
      </c>
      <c r="S201" s="52" t="b">
        <f t="shared" si="26"/>
        <v>0</v>
      </c>
      <c r="T201" s="52" t="b">
        <f t="shared" si="27"/>
        <v>0</v>
      </c>
    </row>
    <row r="202" spans="3:20" x14ac:dyDescent="0.2">
      <c r="C202" s="36" t="s">
        <v>52</v>
      </c>
      <c r="D202" s="40" t="s">
        <v>368</v>
      </c>
      <c r="E202" s="41" t="s">
        <v>369</v>
      </c>
      <c r="F202" s="42"/>
      <c r="G202" s="41"/>
      <c r="H202" s="41"/>
      <c r="I202" s="41"/>
      <c r="J202" s="41"/>
      <c r="K202" s="41"/>
      <c r="L202" s="42"/>
      <c r="M202" s="42" t="s">
        <v>11</v>
      </c>
      <c r="N202" s="52" t="str">
        <f t="shared" si="21"/>
        <v>20.4.3.</v>
      </c>
      <c r="O202" s="52" t="str">
        <f t="shared" si="22"/>
        <v>44.2 / 44.3</v>
      </c>
      <c r="P202" s="52" t="str">
        <f t="shared" si="23"/>
        <v>Расходы на реализацию в торговле / Управленческие расходы в торговле</v>
      </c>
      <c r="Q202" s="52">
        <f t="shared" si="24"/>
        <v>533</v>
      </c>
      <c r="R202" s="52" t="str">
        <f t="shared" si="25"/>
        <v>Транспортный налог</v>
      </c>
      <c r="S202" s="52" t="str">
        <f t="shared" si="26"/>
        <v>Элементы затрат</v>
      </c>
      <c r="T202" s="52" t="str">
        <f t="shared" si="27"/>
        <v>Транспортный налог</v>
      </c>
    </row>
    <row r="203" spans="3:20" ht="22.5" x14ac:dyDescent="0.2">
      <c r="C203" s="36" t="s">
        <v>1087</v>
      </c>
      <c r="D203" s="61" t="s">
        <v>125</v>
      </c>
      <c r="E203" s="61"/>
      <c r="F203" s="62" t="s">
        <v>126</v>
      </c>
      <c r="G203" s="62">
        <v>533</v>
      </c>
      <c r="H203" s="62" t="s">
        <v>369</v>
      </c>
      <c r="I203" s="62" t="s">
        <v>127</v>
      </c>
      <c r="J203" s="62" t="s">
        <v>128</v>
      </c>
      <c r="K203" s="62" t="s">
        <v>129</v>
      </c>
      <c r="L203" s="72"/>
      <c r="M203" s="73"/>
      <c r="N203" s="52" t="b">
        <f t="shared" si="21"/>
        <v>0</v>
      </c>
      <c r="O203" s="52" t="b">
        <f t="shared" si="22"/>
        <v>0</v>
      </c>
      <c r="P203" s="52" t="b">
        <f t="shared" si="23"/>
        <v>0</v>
      </c>
      <c r="Q203" s="52" t="b">
        <f t="shared" si="24"/>
        <v>0</v>
      </c>
      <c r="R203" s="52" t="b">
        <f t="shared" si="25"/>
        <v>0</v>
      </c>
      <c r="S203" s="52" t="b">
        <f t="shared" si="26"/>
        <v>0</v>
      </c>
      <c r="T203" s="52" t="b">
        <f t="shared" si="27"/>
        <v>0</v>
      </c>
    </row>
    <row r="204" spans="3:20" ht="22.5" hidden="1" x14ac:dyDescent="0.2">
      <c r="C204" s="35"/>
      <c r="D204" s="35" t="s">
        <v>98</v>
      </c>
      <c r="E204" s="35" t="s">
        <v>99</v>
      </c>
      <c r="F204" s="35" t="s">
        <v>100</v>
      </c>
      <c r="G204" s="35" t="s">
        <v>101</v>
      </c>
      <c r="H204" s="35" t="s">
        <v>102</v>
      </c>
      <c r="I204" s="35" t="s">
        <v>103</v>
      </c>
      <c r="J204" s="35" t="s">
        <v>104</v>
      </c>
      <c r="K204" s="35" t="s">
        <v>105</v>
      </c>
      <c r="L204" s="35" t="s">
        <v>106</v>
      </c>
      <c r="M204" s="35" t="s">
        <v>107</v>
      </c>
      <c r="N204" s="52" t="b">
        <f t="shared" si="21"/>
        <v>0</v>
      </c>
      <c r="O204" s="52" t="b">
        <f t="shared" si="22"/>
        <v>0</v>
      </c>
      <c r="P204" s="52" t="b">
        <f t="shared" si="23"/>
        <v>0</v>
      </c>
      <c r="Q204" s="52" t="b">
        <f t="shared" si="24"/>
        <v>0</v>
      </c>
      <c r="R204" s="52" t="b">
        <f t="shared" si="25"/>
        <v>0</v>
      </c>
      <c r="S204" s="52" t="b">
        <f t="shared" si="26"/>
        <v>0</v>
      </c>
      <c r="T204" s="52" t="b">
        <f t="shared" si="27"/>
        <v>0</v>
      </c>
    </row>
    <row r="205" spans="3:20" ht="45" x14ac:dyDescent="0.2">
      <c r="C205" s="36" t="s">
        <v>52</v>
      </c>
      <c r="D205" s="37">
        <v>21</v>
      </c>
      <c r="E205" s="38" t="s">
        <v>370</v>
      </c>
      <c r="F205" s="38" t="s">
        <v>71</v>
      </c>
      <c r="G205" s="38"/>
      <c r="H205" s="38"/>
      <c r="I205" s="38"/>
      <c r="J205" s="38"/>
      <c r="K205" s="38"/>
      <c r="L205" s="39" t="s">
        <v>371</v>
      </c>
      <c r="M205" s="39" t="s">
        <v>372</v>
      </c>
      <c r="N205" s="52" t="b">
        <f t="shared" si="21"/>
        <v>0</v>
      </c>
      <c r="O205" s="52" t="b">
        <f t="shared" si="22"/>
        <v>0</v>
      </c>
      <c r="P205" s="52" t="b">
        <f t="shared" si="23"/>
        <v>0</v>
      </c>
      <c r="Q205" s="52" t="b">
        <f t="shared" si="24"/>
        <v>0</v>
      </c>
      <c r="R205" s="52" t="b">
        <f t="shared" si="25"/>
        <v>0</v>
      </c>
      <c r="S205" s="52" t="b">
        <f t="shared" si="26"/>
        <v>0</v>
      </c>
      <c r="T205" s="52" t="b">
        <f t="shared" si="27"/>
        <v>0</v>
      </c>
    </row>
    <row r="206" spans="3:20" x14ac:dyDescent="0.2">
      <c r="C206" s="36" t="s">
        <v>52</v>
      </c>
      <c r="D206" s="46"/>
      <c r="E206" s="47" t="s">
        <v>19</v>
      </c>
      <c r="F206" s="47"/>
      <c r="G206" s="47"/>
      <c r="H206" s="47"/>
      <c r="I206" s="47"/>
      <c r="J206" s="47"/>
      <c r="K206" s="47"/>
      <c r="L206" s="48"/>
      <c r="M206" s="48" t="s">
        <v>373</v>
      </c>
      <c r="N206" s="52" t="b">
        <f t="shared" si="21"/>
        <v>0</v>
      </c>
      <c r="O206" s="52" t="b">
        <f t="shared" si="22"/>
        <v>0</v>
      </c>
      <c r="P206" s="52" t="b">
        <f t="shared" si="23"/>
        <v>0</v>
      </c>
      <c r="Q206" s="52" t="b">
        <f t="shared" si="24"/>
        <v>0</v>
      </c>
      <c r="R206" s="52" t="b">
        <f t="shared" si="25"/>
        <v>0</v>
      </c>
      <c r="S206" s="52" t="b">
        <f t="shared" si="26"/>
        <v>0</v>
      </c>
      <c r="T206" s="52" t="b">
        <f t="shared" si="27"/>
        <v>0</v>
      </c>
    </row>
    <row r="207" spans="3:20" x14ac:dyDescent="0.2">
      <c r="C207" s="36" t="s">
        <v>52</v>
      </c>
      <c r="D207" s="46"/>
      <c r="E207" s="47" t="s">
        <v>112</v>
      </c>
      <c r="F207" s="47"/>
      <c r="G207" s="47"/>
      <c r="H207" s="47"/>
      <c r="I207" s="47"/>
      <c r="J207" s="47"/>
      <c r="K207" s="47"/>
      <c r="L207" s="48"/>
      <c r="M207" s="48" t="s">
        <v>374</v>
      </c>
      <c r="N207" s="52" t="b">
        <f t="shared" si="21"/>
        <v>0</v>
      </c>
      <c r="O207" s="52" t="b">
        <f t="shared" si="22"/>
        <v>0</v>
      </c>
      <c r="P207" s="52" t="b">
        <f t="shared" si="23"/>
        <v>0</v>
      </c>
      <c r="Q207" s="52" t="b">
        <f t="shared" si="24"/>
        <v>0</v>
      </c>
      <c r="R207" s="52" t="b">
        <f t="shared" si="25"/>
        <v>0</v>
      </c>
      <c r="S207" s="52" t="b">
        <f t="shared" si="26"/>
        <v>0</v>
      </c>
      <c r="T207" s="52" t="b">
        <f t="shared" si="27"/>
        <v>0</v>
      </c>
    </row>
    <row r="208" spans="3:20" ht="22.5" x14ac:dyDescent="0.2">
      <c r="C208" s="36" t="s">
        <v>52</v>
      </c>
      <c r="D208" s="46" t="s">
        <v>375</v>
      </c>
      <c r="E208" s="47" t="s">
        <v>376</v>
      </c>
      <c r="F208" s="47"/>
      <c r="G208" s="47"/>
      <c r="H208" s="47"/>
      <c r="I208" s="47"/>
      <c r="J208" s="47"/>
      <c r="K208" s="47"/>
      <c r="L208" s="48" t="s">
        <v>377</v>
      </c>
      <c r="M208" s="48" t="s">
        <v>378</v>
      </c>
      <c r="N208" s="52" t="b">
        <f t="shared" si="21"/>
        <v>0</v>
      </c>
      <c r="O208" s="52" t="b">
        <f t="shared" si="22"/>
        <v>0</v>
      </c>
      <c r="P208" s="52" t="b">
        <f t="shared" si="23"/>
        <v>0</v>
      </c>
      <c r="Q208" s="52" t="b">
        <f t="shared" si="24"/>
        <v>0</v>
      </c>
      <c r="R208" s="52" t="b">
        <f t="shared" si="25"/>
        <v>0</v>
      </c>
      <c r="S208" s="52" t="b">
        <f t="shared" si="26"/>
        <v>0</v>
      </c>
      <c r="T208" s="52" t="b">
        <f t="shared" si="27"/>
        <v>0</v>
      </c>
    </row>
    <row r="209" spans="3:20" x14ac:dyDescent="0.2">
      <c r="C209" s="36" t="s">
        <v>52</v>
      </c>
      <c r="D209" s="46" t="s">
        <v>379</v>
      </c>
      <c r="E209" s="47" t="s">
        <v>380</v>
      </c>
      <c r="F209" s="47"/>
      <c r="G209" s="47"/>
      <c r="H209" s="47"/>
      <c r="I209" s="47"/>
      <c r="J209" s="47"/>
      <c r="K209" s="47"/>
      <c r="L209" s="48"/>
      <c r="M209" s="48"/>
      <c r="N209" s="52" t="str">
        <f t="shared" si="21"/>
        <v>21.1.2.</v>
      </c>
      <c r="O209" s="52" t="str">
        <f t="shared" si="22"/>
        <v>44.2 / 44.3</v>
      </c>
      <c r="P209" s="52" t="str">
        <f t="shared" si="23"/>
        <v>Расходы на реализацию в торговле / Управленческие расходы в торговле</v>
      </c>
      <c r="Q209" s="52">
        <f t="shared" si="24"/>
        <v>175</v>
      </c>
      <c r="R209" s="52" t="str">
        <f t="shared" si="25"/>
        <v>Обслуживание зданий</v>
      </c>
      <c r="S209" s="52" t="str">
        <f t="shared" si="26"/>
        <v>Элементы затрат</v>
      </c>
      <c r="T209" s="52" t="str">
        <f t="shared" si="27"/>
        <v>Обслуживание зданий</v>
      </c>
    </row>
    <row r="210" spans="3:20" ht="22.5" x14ac:dyDescent="0.2">
      <c r="C210" s="36" t="s">
        <v>1087</v>
      </c>
      <c r="D210" s="61" t="s">
        <v>125</v>
      </c>
      <c r="E210" s="61"/>
      <c r="F210" s="62" t="s">
        <v>126</v>
      </c>
      <c r="G210" s="62">
        <v>175</v>
      </c>
      <c r="H210" s="62" t="s">
        <v>380</v>
      </c>
      <c r="I210" s="62" t="s">
        <v>127</v>
      </c>
      <c r="J210" s="62" t="s">
        <v>128</v>
      </c>
      <c r="K210" s="62" t="s">
        <v>129</v>
      </c>
      <c r="L210" s="72"/>
      <c r="M210" s="73"/>
      <c r="N210" s="52" t="b">
        <f t="shared" si="21"/>
        <v>0</v>
      </c>
      <c r="O210" s="52" t="b">
        <f t="shared" si="22"/>
        <v>0</v>
      </c>
      <c r="P210" s="52" t="b">
        <f t="shared" si="23"/>
        <v>0</v>
      </c>
      <c r="Q210" s="52" t="b">
        <f t="shared" si="24"/>
        <v>0</v>
      </c>
      <c r="R210" s="52" t="b">
        <f t="shared" si="25"/>
        <v>0</v>
      </c>
      <c r="S210" s="52" t="b">
        <f t="shared" si="26"/>
        <v>0</v>
      </c>
      <c r="T210" s="52" t="b">
        <f t="shared" si="27"/>
        <v>0</v>
      </c>
    </row>
    <row r="211" spans="3:20" ht="22.5" x14ac:dyDescent="0.2">
      <c r="C211" s="36" t="s">
        <v>52</v>
      </c>
      <c r="D211" s="46" t="s">
        <v>381</v>
      </c>
      <c r="E211" s="47" t="s">
        <v>382</v>
      </c>
      <c r="F211" s="47"/>
      <c r="G211" s="47"/>
      <c r="H211" s="47"/>
      <c r="I211" s="47"/>
      <c r="J211" s="47"/>
      <c r="K211" s="47"/>
      <c r="L211" s="48"/>
      <c r="M211" s="48"/>
      <c r="N211" s="52" t="str">
        <f t="shared" si="21"/>
        <v>21.1.3.</v>
      </c>
      <c r="O211" s="52" t="str">
        <f t="shared" si="22"/>
        <v>44.2 / 44.3</v>
      </c>
      <c r="P211" s="52" t="str">
        <f t="shared" si="23"/>
        <v>Расходы на реализацию в торговле / Управленческие расходы в торговле</v>
      </c>
      <c r="Q211" s="52">
        <f t="shared" si="24"/>
        <v>180</v>
      </c>
      <c r="R211" s="52" t="str">
        <f t="shared" si="25"/>
        <v>Обслуживание и ремонт систем видеонаблюдения</v>
      </c>
      <c r="S211" s="52" t="str">
        <f t="shared" si="26"/>
        <v>Элементы затрат</v>
      </c>
      <c r="T211" s="52" t="str">
        <f t="shared" si="27"/>
        <v>Обслуживание и ремонт систем видеонаблюдения</v>
      </c>
    </row>
    <row r="212" spans="3:20" ht="22.5" x14ac:dyDescent="0.2">
      <c r="C212" s="36" t="s">
        <v>1087</v>
      </c>
      <c r="D212" s="61" t="s">
        <v>125</v>
      </c>
      <c r="E212" s="61"/>
      <c r="F212" s="62" t="s">
        <v>126</v>
      </c>
      <c r="G212" s="62">
        <v>180</v>
      </c>
      <c r="H212" s="62" t="s">
        <v>382</v>
      </c>
      <c r="I212" s="62" t="s">
        <v>127</v>
      </c>
      <c r="J212" s="62" t="s">
        <v>128</v>
      </c>
      <c r="K212" s="62" t="s">
        <v>129</v>
      </c>
      <c r="L212" s="72"/>
      <c r="M212" s="73"/>
      <c r="N212" s="52" t="b">
        <f t="shared" si="21"/>
        <v>0</v>
      </c>
      <c r="O212" s="52" t="b">
        <f t="shared" si="22"/>
        <v>0</v>
      </c>
      <c r="P212" s="52" t="b">
        <f t="shared" si="23"/>
        <v>0</v>
      </c>
      <c r="Q212" s="52" t="b">
        <f t="shared" si="24"/>
        <v>0</v>
      </c>
      <c r="R212" s="52" t="b">
        <f t="shared" si="25"/>
        <v>0</v>
      </c>
      <c r="S212" s="52" t="b">
        <f t="shared" si="26"/>
        <v>0</v>
      </c>
      <c r="T212" s="52" t="b">
        <f t="shared" si="27"/>
        <v>0</v>
      </c>
    </row>
    <row r="213" spans="3:20" x14ac:dyDescent="0.2">
      <c r="C213" s="36" t="s">
        <v>52</v>
      </c>
      <c r="D213" s="46" t="s">
        <v>383</v>
      </c>
      <c r="E213" s="47" t="s">
        <v>384</v>
      </c>
      <c r="F213" s="47"/>
      <c r="G213" s="47"/>
      <c r="H213" s="47"/>
      <c r="I213" s="47"/>
      <c r="J213" s="47"/>
      <c r="K213" s="47"/>
      <c r="L213" s="48"/>
      <c r="M213" s="48"/>
      <c r="N213" s="52" t="str">
        <f t="shared" si="21"/>
        <v>21.1.4.</v>
      </c>
      <c r="O213" s="52" t="str">
        <f t="shared" si="22"/>
        <v>44.2 / 44.3</v>
      </c>
      <c r="P213" s="52" t="str">
        <f t="shared" si="23"/>
        <v>Расходы на реализацию в торговле / Управленческие расходы в торговле</v>
      </c>
      <c r="Q213" s="52">
        <f t="shared" si="24"/>
        <v>181</v>
      </c>
      <c r="R213" s="52" t="str">
        <f t="shared" si="25"/>
        <v>Обслуживание лифтов</v>
      </c>
      <c r="S213" s="52" t="str">
        <f t="shared" si="26"/>
        <v>Элементы затрат</v>
      </c>
      <c r="T213" s="52" t="str">
        <f t="shared" si="27"/>
        <v>Обслуживание лифтов</v>
      </c>
    </row>
    <row r="214" spans="3:20" ht="22.5" x14ac:dyDescent="0.2">
      <c r="C214" s="36" t="s">
        <v>1087</v>
      </c>
      <c r="D214" s="61" t="s">
        <v>125</v>
      </c>
      <c r="E214" s="61"/>
      <c r="F214" s="62" t="s">
        <v>126</v>
      </c>
      <c r="G214" s="62">
        <v>181</v>
      </c>
      <c r="H214" s="62" t="s">
        <v>384</v>
      </c>
      <c r="I214" s="62" t="s">
        <v>127</v>
      </c>
      <c r="J214" s="62" t="s">
        <v>128</v>
      </c>
      <c r="K214" s="62" t="s">
        <v>129</v>
      </c>
      <c r="L214" s="72"/>
      <c r="M214" s="73"/>
      <c r="N214" s="52" t="b">
        <f t="shared" si="21"/>
        <v>0</v>
      </c>
      <c r="O214" s="52" t="b">
        <f t="shared" si="22"/>
        <v>0</v>
      </c>
      <c r="P214" s="52" t="b">
        <f t="shared" si="23"/>
        <v>0</v>
      </c>
      <c r="Q214" s="52" t="b">
        <f t="shared" si="24"/>
        <v>0</v>
      </c>
      <c r="R214" s="52" t="b">
        <f t="shared" si="25"/>
        <v>0</v>
      </c>
      <c r="S214" s="52" t="b">
        <f t="shared" si="26"/>
        <v>0</v>
      </c>
      <c r="T214" s="52" t="b">
        <f t="shared" si="27"/>
        <v>0</v>
      </c>
    </row>
    <row r="215" spans="3:20" x14ac:dyDescent="0.2">
      <c r="C215" s="36" t="s">
        <v>52</v>
      </c>
      <c r="D215" s="46" t="s">
        <v>385</v>
      </c>
      <c r="E215" s="47" t="s">
        <v>386</v>
      </c>
      <c r="F215" s="47"/>
      <c r="G215" s="47"/>
      <c r="H215" s="47"/>
      <c r="I215" s="47"/>
      <c r="J215" s="47"/>
      <c r="K215" s="47"/>
      <c r="L215" s="48"/>
      <c r="M215" s="48"/>
      <c r="N215" s="52" t="str">
        <f t="shared" si="21"/>
        <v>21.1.5.</v>
      </c>
      <c r="O215" s="52" t="str">
        <f t="shared" si="22"/>
        <v>44.2 / 44.3</v>
      </c>
      <c r="P215" s="52" t="str">
        <f t="shared" si="23"/>
        <v>Расходы на реализацию в торговле / Управленческие расходы в торговле</v>
      </c>
      <c r="Q215" s="52">
        <f t="shared" si="24"/>
        <v>190</v>
      </c>
      <c r="R215" s="52" t="str">
        <f t="shared" si="25"/>
        <v>Текущий ремонт зданий</v>
      </c>
      <c r="S215" s="52" t="str">
        <f t="shared" si="26"/>
        <v>Элементы затрат</v>
      </c>
      <c r="T215" s="52" t="str">
        <f t="shared" si="27"/>
        <v>Текущий ремонт зданий</v>
      </c>
    </row>
    <row r="216" spans="3:20" ht="22.5" x14ac:dyDescent="0.2">
      <c r="C216" s="36" t="s">
        <v>1087</v>
      </c>
      <c r="D216" s="61" t="s">
        <v>125</v>
      </c>
      <c r="E216" s="61"/>
      <c r="F216" s="62" t="s">
        <v>126</v>
      </c>
      <c r="G216" s="62">
        <v>190</v>
      </c>
      <c r="H216" s="62" t="s">
        <v>386</v>
      </c>
      <c r="I216" s="62" t="s">
        <v>127</v>
      </c>
      <c r="J216" s="62" t="s">
        <v>128</v>
      </c>
      <c r="K216" s="62" t="s">
        <v>129</v>
      </c>
      <c r="L216" s="72"/>
      <c r="M216" s="73"/>
      <c r="N216" s="52" t="b">
        <f t="shared" si="21"/>
        <v>0</v>
      </c>
      <c r="O216" s="52" t="b">
        <f t="shared" si="22"/>
        <v>0</v>
      </c>
      <c r="P216" s="52" t="b">
        <f t="shared" si="23"/>
        <v>0</v>
      </c>
      <c r="Q216" s="52" t="b">
        <f t="shared" si="24"/>
        <v>0</v>
      </c>
      <c r="R216" s="52" t="b">
        <f t="shared" si="25"/>
        <v>0</v>
      </c>
      <c r="S216" s="52" t="b">
        <f t="shared" si="26"/>
        <v>0</v>
      </c>
      <c r="T216" s="52" t="b">
        <f t="shared" si="27"/>
        <v>0</v>
      </c>
    </row>
    <row r="217" spans="3:20" ht="22.5" x14ac:dyDescent="0.2">
      <c r="C217" s="36" t="s">
        <v>52</v>
      </c>
      <c r="D217" s="46" t="s">
        <v>387</v>
      </c>
      <c r="E217" s="47" t="s">
        <v>388</v>
      </c>
      <c r="F217" s="47"/>
      <c r="G217" s="47"/>
      <c r="H217" s="47"/>
      <c r="I217" s="47"/>
      <c r="J217" s="47"/>
      <c r="K217" s="47"/>
      <c r="L217" s="48"/>
      <c r="M217" s="48"/>
      <c r="N217" s="52" t="str">
        <f t="shared" si="21"/>
        <v>21.1.6.</v>
      </c>
      <c r="O217" s="52" t="str">
        <f t="shared" si="22"/>
        <v>44.2 / 44.3</v>
      </c>
      <c r="P217" s="52" t="str">
        <f t="shared" si="23"/>
        <v>Расходы на реализацию в торговле / Управленческие расходы в торговле</v>
      </c>
      <c r="Q217" s="52">
        <f t="shared" si="24"/>
        <v>185</v>
      </c>
      <c r="R217" s="52" t="str">
        <f t="shared" si="25"/>
        <v>Ремонтно-строительные работы (ребрендинг)</v>
      </c>
      <c r="S217" s="52" t="str">
        <f t="shared" si="26"/>
        <v>Элементы затрат</v>
      </c>
      <c r="T217" s="52" t="str">
        <f t="shared" si="27"/>
        <v>Ремонтно-строительные работы (ребрендинг)</v>
      </c>
    </row>
    <row r="218" spans="3:20" ht="22.5" x14ac:dyDescent="0.2">
      <c r="C218" s="36" t="s">
        <v>1087</v>
      </c>
      <c r="D218" s="61" t="s">
        <v>125</v>
      </c>
      <c r="E218" s="61"/>
      <c r="F218" s="62" t="s">
        <v>126</v>
      </c>
      <c r="G218" s="62">
        <v>185</v>
      </c>
      <c r="H218" s="62" t="s">
        <v>388</v>
      </c>
      <c r="I218" s="62" t="s">
        <v>127</v>
      </c>
      <c r="J218" s="62" t="s">
        <v>128</v>
      </c>
      <c r="K218" s="62" t="s">
        <v>129</v>
      </c>
      <c r="L218" s="72"/>
      <c r="M218" s="73"/>
      <c r="N218" s="52" t="b">
        <f t="shared" si="21"/>
        <v>0</v>
      </c>
      <c r="O218" s="52" t="b">
        <f t="shared" si="22"/>
        <v>0</v>
      </c>
      <c r="P218" s="52" t="b">
        <f t="shared" si="23"/>
        <v>0</v>
      </c>
      <c r="Q218" s="52" t="b">
        <f t="shared" si="24"/>
        <v>0</v>
      </c>
      <c r="R218" s="52" t="b">
        <f t="shared" si="25"/>
        <v>0</v>
      </c>
      <c r="S218" s="52" t="b">
        <f t="shared" si="26"/>
        <v>0</v>
      </c>
      <c r="T218" s="52" t="b">
        <f t="shared" si="27"/>
        <v>0</v>
      </c>
    </row>
    <row r="219" spans="3:20" ht="22.5" x14ac:dyDescent="0.2">
      <c r="C219" s="36" t="s">
        <v>52</v>
      </c>
      <c r="D219" s="46" t="s">
        <v>389</v>
      </c>
      <c r="E219" s="47" t="s">
        <v>390</v>
      </c>
      <c r="F219" s="47"/>
      <c r="G219" s="47"/>
      <c r="H219" s="47"/>
      <c r="I219" s="47"/>
      <c r="J219" s="47"/>
      <c r="K219" s="47"/>
      <c r="L219" s="48" t="s">
        <v>391</v>
      </c>
      <c r="M219" s="77" t="s">
        <v>392</v>
      </c>
      <c r="N219" s="52" t="b">
        <f t="shared" si="21"/>
        <v>0</v>
      </c>
      <c r="O219" s="52" t="b">
        <f t="shared" si="22"/>
        <v>0</v>
      </c>
      <c r="P219" s="52" t="b">
        <f t="shared" si="23"/>
        <v>0</v>
      </c>
      <c r="Q219" s="52" t="b">
        <f t="shared" si="24"/>
        <v>0</v>
      </c>
      <c r="R219" s="52" t="b">
        <f t="shared" si="25"/>
        <v>0</v>
      </c>
      <c r="S219" s="52" t="b">
        <f t="shared" si="26"/>
        <v>0</v>
      </c>
      <c r="T219" s="52" t="b">
        <f t="shared" si="27"/>
        <v>0</v>
      </c>
    </row>
    <row r="220" spans="3:20" hidden="1" x14ac:dyDescent="0.2">
      <c r="D220" s="86"/>
      <c r="E220" s="81"/>
      <c r="F220" s="81"/>
      <c r="G220" s="81"/>
      <c r="H220" s="81"/>
      <c r="I220" s="81"/>
      <c r="J220" s="81"/>
      <c r="K220" s="81"/>
      <c r="L220" s="59"/>
      <c r="M220" s="59"/>
      <c r="N220" s="52" t="b">
        <f t="shared" si="21"/>
        <v>0</v>
      </c>
      <c r="O220" s="52" t="b">
        <f t="shared" si="22"/>
        <v>0</v>
      </c>
      <c r="P220" s="52" t="b">
        <f t="shared" si="23"/>
        <v>0</v>
      </c>
      <c r="Q220" s="52" t="b">
        <f t="shared" si="24"/>
        <v>0</v>
      </c>
      <c r="R220" s="52" t="b">
        <f t="shared" si="25"/>
        <v>0</v>
      </c>
      <c r="S220" s="52" t="b">
        <f t="shared" si="26"/>
        <v>0</v>
      </c>
      <c r="T220" s="52" t="b">
        <f t="shared" si="27"/>
        <v>0</v>
      </c>
    </row>
    <row r="221" spans="3:20" hidden="1" x14ac:dyDescent="0.2">
      <c r="D221" s="86"/>
      <c r="E221" s="81"/>
      <c r="F221" s="81"/>
      <c r="G221" s="81"/>
      <c r="H221" s="81"/>
      <c r="I221" s="81"/>
      <c r="J221" s="81"/>
      <c r="K221" s="81"/>
      <c r="L221" s="59"/>
      <c r="M221" s="59"/>
      <c r="N221" s="52" t="b">
        <f t="shared" si="21"/>
        <v>0</v>
      </c>
      <c r="O221" s="52" t="b">
        <f t="shared" si="22"/>
        <v>0</v>
      </c>
      <c r="P221" s="52" t="b">
        <f t="shared" si="23"/>
        <v>0</v>
      </c>
      <c r="Q221" s="52" t="b">
        <f t="shared" si="24"/>
        <v>0</v>
      </c>
      <c r="R221" s="52" t="b">
        <f t="shared" si="25"/>
        <v>0</v>
      </c>
      <c r="S221" s="52" t="b">
        <f t="shared" si="26"/>
        <v>0</v>
      </c>
      <c r="T221" s="52" t="b">
        <f t="shared" si="27"/>
        <v>0</v>
      </c>
    </row>
    <row r="222" spans="3:20" ht="22.5" x14ac:dyDescent="0.2">
      <c r="C222" s="36" t="s">
        <v>52</v>
      </c>
      <c r="D222" s="46" t="s">
        <v>393</v>
      </c>
      <c r="E222" s="47" t="s">
        <v>394</v>
      </c>
      <c r="F222" s="47" t="s">
        <v>71</v>
      </c>
      <c r="G222" s="47"/>
      <c r="H222" s="47"/>
      <c r="I222" s="47"/>
      <c r="J222" s="47"/>
      <c r="K222" s="47"/>
      <c r="L222" s="48" t="s">
        <v>377</v>
      </c>
      <c r="M222" s="48" t="s">
        <v>395</v>
      </c>
      <c r="N222" s="52" t="b">
        <f t="shared" si="21"/>
        <v>0</v>
      </c>
      <c r="O222" s="52" t="b">
        <f t="shared" si="22"/>
        <v>0</v>
      </c>
      <c r="P222" s="52" t="b">
        <f t="shared" si="23"/>
        <v>0</v>
      </c>
      <c r="Q222" s="52" t="b">
        <f t="shared" si="24"/>
        <v>0</v>
      </c>
      <c r="R222" s="52" t="b">
        <f t="shared" si="25"/>
        <v>0</v>
      </c>
      <c r="S222" s="52" t="b">
        <f t="shared" si="26"/>
        <v>0</v>
      </c>
      <c r="T222" s="52" t="b">
        <f t="shared" si="27"/>
        <v>0</v>
      </c>
    </row>
    <row r="223" spans="3:20" x14ac:dyDescent="0.2">
      <c r="C223" s="36" t="s">
        <v>52</v>
      </c>
      <c r="D223" s="46" t="s">
        <v>396</v>
      </c>
      <c r="E223" s="47" t="s">
        <v>397</v>
      </c>
      <c r="F223" s="47"/>
      <c r="G223" s="47"/>
      <c r="H223" s="47"/>
      <c r="I223" s="47"/>
      <c r="J223" s="47"/>
      <c r="K223" s="47"/>
      <c r="L223" s="48"/>
      <c r="M223" s="48"/>
      <c r="N223" s="52" t="str">
        <f t="shared" si="21"/>
        <v>21.2.1.</v>
      </c>
      <c r="O223" s="52" t="str">
        <f t="shared" si="22"/>
        <v>44.2 / 44.3</v>
      </c>
      <c r="P223" s="52" t="str">
        <f t="shared" si="23"/>
        <v>Расходы на реализацию в торговле / Управленческие расходы в торговле</v>
      </c>
      <c r="Q223" s="52">
        <f t="shared" si="24"/>
        <v>176</v>
      </c>
      <c r="R223" s="52" t="str">
        <f t="shared" si="25"/>
        <v>Обслуживание и ремонт весов</v>
      </c>
      <c r="S223" s="52" t="str">
        <f t="shared" si="26"/>
        <v>Элементы затрат</v>
      </c>
      <c r="T223" s="52" t="str">
        <f t="shared" si="27"/>
        <v>Обслуживание и ремонт весов</v>
      </c>
    </row>
    <row r="224" spans="3:20" ht="22.5" x14ac:dyDescent="0.2">
      <c r="C224" s="36" t="s">
        <v>1087</v>
      </c>
      <c r="D224" s="61" t="s">
        <v>125</v>
      </c>
      <c r="E224" s="61"/>
      <c r="F224" s="62" t="s">
        <v>126</v>
      </c>
      <c r="G224" s="62">
        <v>176</v>
      </c>
      <c r="H224" s="62" t="s">
        <v>397</v>
      </c>
      <c r="I224" s="62" t="s">
        <v>127</v>
      </c>
      <c r="J224" s="62" t="s">
        <v>128</v>
      </c>
      <c r="K224" s="62" t="s">
        <v>129</v>
      </c>
      <c r="L224" s="72"/>
      <c r="M224" s="73"/>
      <c r="N224" s="52" t="b">
        <f t="shared" si="21"/>
        <v>0</v>
      </c>
      <c r="O224" s="52" t="b">
        <f t="shared" si="22"/>
        <v>0</v>
      </c>
      <c r="P224" s="52" t="b">
        <f t="shared" si="23"/>
        <v>0</v>
      </c>
      <c r="Q224" s="52" t="b">
        <f t="shared" si="24"/>
        <v>0</v>
      </c>
      <c r="R224" s="52" t="b">
        <f t="shared" si="25"/>
        <v>0</v>
      </c>
      <c r="S224" s="52" t="b">
        <f t="shared" si="26"/>
        <v>0</v>
      </c>
      <c r="T224" s="52" t="b">
        <f t="shared" si="27"/>
        <v>0</v>
      </c>
    </row>
    <row r="225" spans="3:20" ht="22.5" x14ac:dyDescent="0.2">
      <c r="C225" s="36" t="s">
        <v>52</v>
      </c>
      <c r="D225" s="46" t="s">
        <v>398</v>
      </c>
      <c r="E225" s="47" t="s">
        <v>399</v>
      </c>
      <c r="F225" s="47"/>
      <c r="G225" s="47"/>
      <c r="H225" s="47"/>
      <c r="I225" s="47"/>
      <c r="J225" s="47"/>
      <c r="K225" s="47"/>
      <c r="L225" s="48"/>
      <c r="M225" s="48"/>
      <c r="N225" s="52" t="str">
        <f t="shared" si="21"/>
        <v>21.2.2.</v>
      </c>
      <c r="O225" s="52" t="str">
        <f t="shared" si="22"/>
        <v>44.2 / 44.3</v>
      </c>
      <c r="P225" s="52" t="str">
        <f t="shared" si="23"/>
        <v>Расходы на реализацию в торговле / Управленческие расходы в торговле</v>
      </c>
      <c r="Q225" s="52">
        <f t="shared" si="24"/>
        <v>177</v>
      </c>
      <c r="R225" s="52" t="str">
        <f t="shared" si="25"/>
        <v>Обслуживание и ремонт кассового оборудования</v>
      </c>
      <c r="S225" s="52" t="str">
        <f t="shared" si="26"/>
        <v>Элементы затрат</v>
      </c>
      <c r="T225" s="52" t="str">
        <f t="shared" si="27"/>
        <v>Обслуживание и ремонт кассового оборудования</v>
      </c>
    </row>
    <row r="226" spans="3:20" ht="22.5" x14ac:dyDescent="0.2">
      <c r="C226" s="36" t="s">
        <v>1087</v>
      </c>
      <c r="D226" s="61" t="s">
        <v>125</v>
      </c>
      <c r="E226" s="61"/>
      <c r="F226" s="62" t="s">
        <v>126</v>
      </c>
      <c r="G226" s="62">
        <v>177</v>
      </c>
      <c r="H226" s="62" t="s">
        <v>399</v>
      </c>
      <c r="I226" s="62" t="s">
        <v>127</v>
      </c>
      <c r="J226" s="62" t="s">
        <v>128</v>
      </c>
      <c r="K226" s="62" t="s">
        <v>129</v>
      </c>
      <c r="L226" s="72"/>
      <c r="M226" s="73"/>
      <c r="N226" s="52" t="b">
        <f t="shared" si="21"/>
        <v>0</v>
      </c>
      <c r="O226" s="52" t="b">
        <f t="shared" si="22"/>
        <v>0</v>
      </c>
      <c r="P226" s="52" t="b">
        <f t="shared" si="23"/>
        <v>0</v>
      </c>
      <c r="Q226" s="52" t="b">
        <f t="shared" si="24"/>
        <v>0</v>
      </c>
      <c r="R226" s="52" t="b">
        <f t="shared" si="25"/>
        <v>0</v>
      </c>
      <c r="S226" s="52" t="b">
        <f t="shared" si="26"/>
        <v>0</v>
      </c>
      <c r="T226" s="52" t="b">
        <f t="shared" si="27"/>
        <v>0</v>
      </c>
    </row>
    <row r="227" spans="3:20" ht="22.5" x14ac:dyDescent="0.2">
      <c r="C227" s="36" t="s">
        <v>52</v>
      </c>
      <c r="D227" s="46" t="s">
        <v>400</v>
      </c>
      <c r="E227" s="47" t="s">
        <v>401</v>
      </c>
      <c r="F227" s="47"/>
      <c r="G227" s="47"/>
      <c r="H227" s="47"/>
      <c r="I227" s="47"/>
      <c r="J227" s="47"/>
      <c r="K227" s="47"/>
      <c r="L227" s="48"/>
      <c r="M227" s="48"/>
      <c r="N227" s="52" t="str">
        <f t="shared" si="21"/>
        <v>21.2.3.</v>
      </c>
      <c r="O227" s="52" t="str">
        <f t="shared" si="22"/>
        <v>44.2 / 44.3</v>
      </c>
      <c r="P227" s="52" t="str">
        <f t="shared" si="23"/>
        <v>Расходы на реализацию в торговле / Управленческие расходы в торговле</v>
      </c>
      <c r="Q227" s="52">
        <f t="shared" si="24"/>
        <v>179</v>
      </c>
      <c r="R227" s="52" t="str">
        <f t="shared" si="25"/>
        <v>Обслуживание и ремонт прочего оборудования</v>
      </c>
      <c r="S227" s="52" t="str">
        <f t="shared" si="26"/>
        <v>Элементы затрат</v>
      </c>
      <c r="T227" s="52" t="str">
        <f t="shared" si="27"/>
        <v>Обслуживание и ремонт прочего оборудования</v>
      </c>
    </row>
    <row r="228" spans="3:20" ht="22.5" x14ac:dyDescent="0.2">
      <c r="C228" s="36" t="s">
        <v>1087</v>
      </c>
      <c r="D228" s="61" t="s">
        <v>125</v>
      </c>
      <c r="E228" s="61"/>
      <c r="F228" s="62" t="s">
        <v>126</v>
      </c>
      <c r="G228" s="62">
        <v>179</v>
      </c>
      <c r="H228" s="62" t="s">
        <v>401</v>
      </c>
      <c r="I228" s="62" t="s">
        <v>127</v>
      </c>
      <c r="J228" s="62" t="s">
        <v>128</v>
      </c>
      <c r="K228" s="62" t="s">
        <v>129</v>
      </c>
      <c r="L228" s="72"/>
      <c r="M228" s="73"/>
      <c r="N228" s="52" t="b">
        <f t="shared" si="21"/>
        <v>0</v>
      </c>
      <c r="O228" s="52" t="b">
        <f t="shared" si="22"/>
        <v>0</v>
      </c>
      <c r="P228" s="52" t="b">
        <f t="shared" si="23"/>
        <v>0</v>
      </c>
      <c r="Q228" s="52" t="b">
        <f t="shared" si="24"/>
        <v>0</v>
      </c>
      <c r="R228" s="52" t="b">
        <f t="shared" si="25"/>
        <v>0</v>
      </c>
      <c r="S228" s="52" t="b">
        <f t="shared" si="26"/>
        <v>0</v>
      </c>
      <c r="T228" s="52" t="b">
        <f t="shared" si="27"/>
        <v>0</v>
      </c>
    </row>
    <row r="229" spans="3:20" ht="22.5" x14ac:dyDescent="0.2">
      <c r="C229" s="36" t="s">
        <v>52</v>
      </c>
      <c r="D229" s="46" t="s">
        <v>402</v>
      </c>
      <c r="E229" s="47" t="s">
        <v>403</v>
      </c>
      <c r="F229" s="47"/>
      <c r="G229" s="47"/>
      <c r="H229" s="47"/>
      <c r="I229" s="47"/>
      <c r="J229" s="47"/>
      <c r="K229" s="47"/>
      <c r="L229" s="48"/>
      <c r="M229" s="48"/>
      <c r="N229" s="52" t="str">
        <f t="shared" si="21"/>
        <v>21.2.4.</v>
      </c>
      <c r="O229" s="52" t="str">
        <f t="shared" si="22"/>
        <v>44.2 / 44.3</v>
      </c>
      <c r="P229" s="52" t="str">
        <f t="shared" si="23"/>
        <v>Расходы на реализацию в торговле / Управленческие расходы в торговле</v>
      </c>
      <c r="Q229" s="52">
        <f t="shared" si="24"/>
        <v>183</v>
      </c>
      <c r="R229" s="52" t="str">
        <f t="shared" si="25"/>
        <v>Обслуживание, ремонт торгово-технологического оборудования</v>
      </c>
      <c r="S229" s="52" t="str">
        <f t="shared" si="26"/>
        <v>Элементы затрат</v>
      </c>
      <c r="T229" s="52" t="str">
        <f t="shared" si="27"/>
        <v>Обслуживание, ремонт торгово-технологического оборудования</v>
      </c>
    </row>
    <row r="230" spans="3:20" ht="22.5" x14ac:dyDescent="0.2">
      <c r="C230" s="36" t="s">
        <v>1087</v>
      </c>
      <c r="D230" s="61" t="s">
        <v>125</v>
      </c>
      <c r="E230" s="61"/>
      <c r="F230" s="62" t="s">
        <v>126</v>
      </c>
      <c r="G230" s="62">
        <v>183</v>
      </c>
      <c r="H230" s="62" t="s">
        <v>403</v>
      </c>
      <c r="I230" s="62" t="s">
        <v>127</v>
      </c>
      <c r="J230" s="62" t="s">
        <v>128</v>
      </c>
      <c r="K230" s="62" t="s">
        <v>129</v>
      </c>
      <c r="L230" s="72"/>
      <c r="M230" s="73"/>
      <c r="N230" s="52" t="b">
        <f t="shared" si="21"/>
        <v>0</v>
      </c>
      <c r="O230" s="52" t="b">
        <f t="shared" si="22"/>
        <v>0</v>
      </c>
      <c r="P230" s="52" t="b">
        <f t="shared" si="23"/>
        <v>0</v>
      </c>
      <c r="Q230" s="52" t="b">
        <f t="shared" si="24"/>
        <v>0</v>
      </c>
      <c r="R230" s="52" t="b">
        <f t="shared" si="25"/>
        <v>0</v>
      </c>
      <c r="S230" s="52" t="b">
        <f t="shared" si="26"/>
        <v>0</v>
      </c>
      <c r="T230" s="52" t="b">
        <f t="shared" si="27"/>
        <v>0</v>
      </c>
    </row>
    <row r="231" spans="3:20" ht="22.5" x14ac:dyDescent="0.2">
      <c r="C231" s="36" t="s">
        <v>52</v>
      </c>
      <c r="D231" s="46" t="s">
        <v>404</v>
      </c>
      <c r="E231" s="47" t="s">
        <v>405</v>
      </c>
      <c r="F231" s="47"/>
      <c r="G231" s="47"/>
      <c r="H231" s="47"/>
      <c r="I231" s="47"/>
      <c r="J231" s="47"/>
      <c r="K231" s="47"/>
      <c r="L231" s="48"/>
      <c r="M231" s="48"/>
      <c r="N231" s="52" t="str">
        <f t="shared" si="21"/>
        <v>21.2.5.</v>
      </c>
      <c r="O231" s="52" t="str">
        <f t="shared" si="22"/>
        <v>44.2 / 44.3</v>
      </c>
      <c r="P231" s="52" t="str">
        <f t="shared" si="23"/>
        <v>Расходы на реализацию в торговле / Управленческие расходы в торговле</v>
      </c>
      <c r="Q231" s="52">
        <f t="shared" si="24"/>
        <v>184</v>
      </c>
      <c r="R231" s="52" t="str">
        <f t="shared" si="25"/>
        <v>Обслуживание, ремонт холодильного оборудования</v>
      </c>
      <c r="S231" s="52" t="str">
        <f t="shared" si="26"/>
        <v>Элементы затрат</v>
      </c>
      <c r="T231" s="52" t="str">
        <f t="shared" si="27"/>
        <v>Обслуживание, ремонт холодильного оборудования</v>
      </c>
    </row>
    <row r="232" spans="3:20" ht="22.5" x14ac:dyDescent="0.2">
      <c r="C232" s="36" t="s">
        <v>1087</v>
      </c>
      <c r="D232" s="61" t="s">
        <v>125</v>
      </c>
      <c r="E232" s="61"/>
      <c r="F232" s="62" t="s">
        <v>126</v>
      </c>
      <c r="G232" s="62">
        <v>184</v>
      </c>
      <c r="H232" s="62" t="s">
        <v>405</v>
      </c>
      <c r="I232" s="62" t="s">
        <v>127</v>
      </c>
      <c r="J232" s="62" t="s">
        <v>128</v>
      </c>
      <c r="K232" s="62" t="s">
        <v>129</v>
      </c>
      <c r="L232" s="72"/>
      <c r="M232" s="73"/>
      <c r="N232" s="52" t="b">
        <f t="shared" si="21"/>
        <v>0</v>
      </c>
      <c r="O232" s="52" t="b">
        <f t="shared" si="22"/>
        <v>0</v>
      </c>
      <c r="P232" s="52" t="b">
        <f t="shared" si="23"/>
        <v>0</v>
      </c>
      <c r="Q232" s="52" t="b">
        <f t="shared" si="24"/>
        <v>0</v>
      </c>
      <c r="R232" s="52" t="b">
        <f t="shared" si="25"/>
        <v>0</v>
      </c>
      <c r="S232" s="52" t="b">
        <f t="shared" si="26"/>
        <v>0</v>
      </c>
      <c r="T232" s="52" t="b">
        <f t="shared" si="27"/>
        <v>0</v>
      </c>
    </row>
    <row r="233" spans="3:20" ht="22.5" hidden="1" x14ac:dyDescent="0.2">
      <c r="C233" s="35"/>
      <c r="D233" s="35" t="s">
        <v>98</v>
      </c>
      <c r="E233" s="35" t="s">
        <v>99</v>
      </c>
      <c r="F233" s="35" t="s">
        <v>100</v>
      </c>
      <c r="G233" s="35" t="s">
        <v>101</v>
      </c>
      <c r="H233" s="35" t="s">
        <v>102</v>
      </c>
      <c r="I233" s="35" t="s">
        <v>103</v>
      </c>
      <c r="J233" s="35" t="s">
        <v>104</v>
      </c>
      <c r="K233" s="35" t="s">
        <v>105</v>
      </c>
      <c r="L233" s="35" t="s">
        <v>106</v>
      </c>
      <c r="M233" s="35" t="s">
        <v>107</v>
      </c>
      <c r="N233" s="52" t="b">
        <f t="shared" si="21"/>
        <v>0</v>
      </c>
      <c r="O233" s="52" t="b">
        <f t="shared" si="22"/>
        <v>0</v>
      </c>
      <c r="P233" s="52" t="b">
        <f t="shared" si="23"/>
        <v>0</v>
      </c>
      <c r="Q233" s="52" t="b">
        <f t="shared" si="24"/>
        <v>0</v>
      </c>
      <c r="R233" s="52" t="b">
        <f t="shared" si="25"/>
        <v>0</v>
      </c>
      <c r="S233" s="52" t="b">
        <f t="shared" si="26"/>
        <v>0</v>
      </c>
      <c r="T233" s="52" t="b">
        <f t="shared" si="27"/>
        <v>0</v>
      </c>
    </row>
    <row r="234" spans="3:20" x14ac:dyDescent="0.2">
      <c r="C234" s="36" t="s">
        <v>52</v>
      </c>
      <c r="D234" s="37">
        <v>22</v>
      </c>
      <c r="E234" s="38" t="s">
        <v>406</v>
      </c>
      <c r="F234" s="38"/>
      <c r="G234" s="38"/>
      <c r="H234" s="38"/>
      <c r="I234" s="38"/>
      <c r="J234" s="38"/>
      <c r="K234" s="38"/>
      <c r="L234" s="39"/>
      <c r="M234" s="39"/>
      <c r="N234" s="52" t="b">
        <f t="shared" si="21"/>
        <v>0</v>
      </c>
      <c r="O234" s="52" t="b">
        <f t="shared" si="22"/>
        <v>0</v>
      </c>
      <c r="P234" s="52" t="b">
        <f t="shared" si="23"/>
        <v>0</v>
      </c>
      <c r="Q234" s="52" t="b">
        <f t="shared" si="24"/>
        <v>0</v>
      </c>
      <c r="R234" s="52" t="b">
        <f t="shared" si="25"/>
        <v>0</v>
      </c>
      <c r="S234" s="52" t="b">
        <f t="shared" si="26"/>
        <v>0</v>
      </c>
      <c r="T234" s="52" t="b">
        <f t="shared" si="27"/>
        <v>0</v>
      </c>
    </row>
    <row r="235" spans="3:20" x14ac:dyDescent="0.2">
      <c r="C235" s="36" t="s">
        <v>52</v>
      </c>
      <c r="D235" s="46"/>
      <c r="E235" s="47" t="s">
        <v>19</v>
      </c>
      <c r="F235" s="47"/>
      <c r="G235" s="47"/>
      <c r="H235" s="47"/>
      <c r="I235" s="47"/>
      <c r="J235" s="47"/>
      <c r="K235" s="47"/>
      <c r="L235" s="48"/>
      <c r="M235" s="48" t="s">
        <v>407</v>
      </c>
      <c r="N235" s="52" t="b">
        <f t="shared" si="21"/>
        <v>0</v>
      </c>
      <c r="O235" s="52" t="b">
        <f t="shared" si="22"/>
        <v>0</v>
      </c>
      <c r="P235" s="52" t="b">
        <f t="shared" si="23"/>
        <v>0</v>
      </c>
      <c r="Q235" s="52" t="b">
        <f t="shared" si="24"/>
        <v>0</v>
      </c>
      <c r="R235" s="52" t="b">
        <f t="shared" si="25"/>
        <v>0</v>
      </c>
      <c r="S235" s="52" t="b">
        <f t="shared" si="26"/>
        <v>0</v>
      </c>
      <c r="T235" s="52" t="b">
        <f t="shared" si="27"/>
        <v>0</v>
      </c>
    </row>
    <row r="236" spans="3:20" x14ac:dyDescent="0.2">
      <c r="C236" s="36" t="s">
        <v>52</v>
      </c>
      <c r="D236" s="46"/>
      <c r="E236" s="47" t="s">
        <v>112</v>
      </c>
      <c r="F236" s="47"/>
      <c r="G236" s="47"/>
      <c r="H236" s="47"/>
      <c r="I236" s="47"/>
      <c r="J236" s="47"/>
      <c r="K236" s="47"/>
      <c r="L236" s="48"/>
      <c r="M236" s="48" t="s">
        <v>408</v>
      </c>
      <c r="N236" s="52" t="b">
        <f t="shared" si="21"/>
        <v>0</v>
      </c>
      <c r="O236" s="52" t="b">
        <f t="shared" si="22"/>
        <v>0</v>
      </c>
      <c r="P236" s="52" t="b">
        <f t="shared" si="23"/>
        <v>0</v>
      </c>
      <c r="Q236" s="52" t="b">
        <f t="shared" si="24"/>
        <v>0</v>
      </c>
      <c r="R236" s="52" t="b">
        <f t="shared" si="25"/>
        <v>0</v>
      </c>
      <c r="S236" s="52" t="b">
        <f t="shared" si="26"/>
        <v>0</v>
      </c>
      <c r="T236" s="52" t="b">
        <f t="shared" si="27"/>
        <v>0</v>
      </c>
    </row>
    <row r="237" spans="3:20" x14ac:dyDescent="0.2">
      <c r="C237" s="36" t="s">
        <v>52</v>
      </c>
      <c r="D237" s="46" t="s">
        <v>409</v>
      </c>
      <c r="E237" s="47" t="s">
        <v>410</v>
      </c>
      <c r="F237" s="47"/>
      <c r="G237" s="47"/>
      <c r="H237" s="47"/>
      <c r="I237" s="47"/>
      <c r="J237" s="47"/>
      <c r="K237" s="47"/>
      <c r="L237" s="48"/>
      <c r="M237" s="48"/>
      <c r="N237" s="52" t="b">
        <f t="shared" si="21"/>
        <v>0</v>
      </c>
      <c r="O237" s="52" t="b">
        <f t="shared" si="22"/>
        <v>0</v>
      </c>
      <c r="P237" s="52" t="b">
        <f t="shared" si="23"/>
        <v>0</v>
      </c>
      <c r="Q237" s="52" t="b">
        <f t="shared" si="24"/>
        <v>0</v>
      </c>
      <c r="R237" s="52" t="b">
        <f t="shared" si="25"/>
        <v>0</v>
      </c>
      <c r="S237" s="52" t="b">
        <f t="shared" si="26"/>
        <v>0</v>
      </c>
      <c r="T237" s="52" t="b">
        <f t="shared" si="27"/>
        <v>0</v>
      </c>
    </row>
    <row r="238" spans="3:20" ht="22.5" x14ac:dyDescent="0.2">
      <c r="C238" s="36" t="s">
        <v>52</v>
      </c>
      <c r="D238" s="46" t="s">
        <v>411</v>
      </c>
      <c r="E238" s="47" t="s">
        <v>412</v>
      </c>
      <c r="F238" s="47"/>
      <c r="G238" s="47"/>
      <c r="H238" s="47"/>
      <c r="I238" s="47"/>
      <c r="J238" s="47"/>
      <c r="K238" s="47"/>
      <c r="L238" s="48"/>
      <c r="M238" s="48" t="s">
        <v>413</v>
      </c>
      <c r="N238" s="52" t="str">
        <f t="shared" si="21"/>
        <v>22.1.1.</v>
      </c>
      <c r="O238" s="52" t="str">
        <f t="shared" si="22"/>
        <v>44.2 / 44.3</v>
      </c>
      <c r="P238" s="52" t="str">
        <f t="shared" si="23"/>
        <v>Расходы на реализацию в торговле / Управленческие расходы в торговле</v>
      </c>
      <c r="Q238" s="52">
        <f t="shared" si="24"/>
        <v>218</v>
      </c>
      <c r="R238" s="52" t="str">
        <f t="shared" si="25"/>
        <v xml:space="preserve"> страхование автотранспорта обязательное</v>
      </c>
      <c r="S238" s="52" t="str">
        <f t="shared" si="26"/>
        <v>Элементы затрат</v>
      </c>
      <c r="T238" s="52" t="str">
        <f t="shared" si="27"/>
        <v xml:space="preserve"> страхование автотранспорта обязательное</v>
      </c>
    </row>
    <row r="239" spans="3:20" ht="22.5" x14ac:dyDescent="0.2">
      <c r="C239" s="36" t="s">
        <v>1087</v>
      </c>
      <c r="D239" s="61" t="s">
        <v>125</v>
      </c>
      <c r="E239" s="61"/>
      <c r="F239" s="62" t="s">
        <v>126</v>
      </c>
      <c r="G239" s="62">
        <v>218</v>
      </c>
      <c r="H239" s="62" t="s">
        <v>412</v>
      </c>
      <c r="I239" s="62" t="s">
        <v>127</v>
      </c>
      <c r="J239" s="62" t="s">
        <v>128</v>
      </c>
      <c r="K239" s="62" t="s">
        <v>129</v>
      </c>
      <c r="L239" s="72"/>
      <c r="M239" s="73"/>
      <c r="N239" s="52" t="b">
        <f t="shared" si="21"/>
        <v>0</v>
      </c>
      <c r="O239" s="52" t="b">
        <f t="shared" si="22"/>
        <v>0</v>
      </c>
      <c r="P239" s="52" t="b">
        <f t="shared" si="23"/>
        <v>0</v>
      </c>
      <c r="Q239" s="52" t="b">
        <f t="shared" si="24"/>
        <v>0</v>
      </c>
      <c r="R239" s="52" t="b">
        <f t="shared" si="25"/>
        <v>0</v>
      </c>
      <c r="S239" s="52" t="b">
        <f t="shared" si="26"/>
        <v>0</v>
      </c>
      <c r="T239" s="52" t="b">
        <f t="shared" si="27"/>
        <v>0</v>
      </c>
    </row>
    <row r="240" spans="3:20" ht="22.5" x14ac:dyDescent="0.2">
      <c r="C240" s="36" t="s">
        <v>52</v>
      </c>
      <c r="D240" s="46" t="s">
        <v>414</v>
      </c>
      <c r="E240" s="47" t="s">
        <v>415</v>
      </c>
      <c r="F240" s="47" t="s">
        <v>67</v>
      </c>
      <c r="G240" s="47"/>
      <c r="H240" s="47"/>
      <c r="I240" s="47"/>
      <c r="J240" s="47"/>
      <c r="K240" s="47"/>
      <c r="L240" s="48"/>
      <c r="M240" s="48" t="s">
        <v>416</v>
      </c>
      <c r="N240" s="52" t="str">
        <f t="shared" si="21"/>
        <v>22.1.2.</v>
      </c>
      <c r="O240" s="52" t="str">
        <f t="shared" si="22"/>
        <v>44.2 / 44.3</v>
      </c>
      <c r="P240" s="52" t="str">
        <f t="shared" si="23"/>
        <v>Расходы на реализацию в торговле / Управленческие расходы в торговле</v>
      </c>
      <c r="Q240" s="52">
        <f t="shared" si="24"/>
        <v>255</v>
      </c>
      <c r="R240" s="52" t="str">
        <f t="shared" si="25"/>
        <v>страхование недвижимости обязательное</v>
      </c>
      <c r="S240" s="52" t="str">
        <f t="shared" si="26"/>
        <v>Элементы затрат</v>
      </c>
      <c r="T240" s="52" t="str">
        <f t="shared" si="27"/>
        <v>страхование недвижимости обязательное</v>
      </c>
    </row>
    <row r="241" spans="3:20" ht="22.5" x14ac:dyDescent="0.2">
      <c r="C241" s="36" t="s">
        <v>1087</v>
      </c>
      <c r="D241" s="61" t="s">
        <v>125</v>
      </c>
      <c r="E241" s="61"/>
      <c r="F241" s="62" t="s">
        <v>126</v>
      </c>
      <c r="G241" s="62">
        <v>255</v>
      </c>
      <c r="H241" s="62" t="s">
        <v>415</v>
      </c>
      <c r="I241" s="62" t="s">
        <v>127</v>
      </c>
      <c r="J241" s="62" t="s">
        <v>128</v>
      </c>
      <c r="K241" s="62" t="s">
        <v>129</v>
      </c>
      <c r="L241" s="72"/>
      <c r="M241" s="73"/>
      <c r="N241" s="52" t="b">
        <f t="shared" si="21"/>
        <v>0</v>
      </c>
      <c r="O241" s="52" t="b">
        <f t="shared" si="22"/>
        <v>0</v>
      </c>
      <c r="P241" s="52" t="b">
        <f t="shared" si="23"/>
        <v>0</v>
      </c>
      <c r="Q241" s="52" t="b">
        <f t="shared" si="24"/>
        <v>0</v>
      </c>
      <c r="R241" s="52" t="b">
        <f t="shared" si="25"/>
        <v>0</v>
      </c>
      <c r="S241" s="52" t="b">
        <f t="shared" si="26"/>
        <v>0</v>
      </c>
      <c r="T241" s="52" t="b">
        <f t="shared" si="27"/>
        <v>0</v>
      </c>
    </row>
    <row r="242" spans="3:20" x14ac:dyDescent="0.2">
      <c r="C242" s="36" t="s">
        <v>52</v>
      </c>
      <c r="D242" s="46" t="s">
        <v>417</v>
      </c>
      <c r="E242" s="47" t="s">
        <v>418</v>
      </c>
      <c r="F242" s="47"/>
      <c r="G242" s="47"/>
      <c r="H242" s="47"/>
      <c r="I242" s="47"/>
      <c r="J242" s="47"/>
      <c r="K242" s="47"/>
      <c r="L242" s="48"/>
      <c r="M242" s="48"/>
      <c r="N242" s="52" t="b">
        <f t="shared" si="21"/>
        <v>0</v>
      </c>
      <c r="O242" s="52" t="b">
        <f t="shared" si="22"/>
        <v>0</v>
      </c>
      <c r="P242" s="52" t="b">
        <f t="shared" si="23"/>
        <v>0</v>
      </c>
      <c r="Q242" s="52" t="b">
        <f t="shared" si="24"/>
        <v>0</v>
      </c>
      <c r="R242" s="52" t="b">
        <f t="shared" si="25"/>
        <v>0</v>
      </c>
      <c r="S242" s="52" t="b">
        <f t="shared" si="26"/>
        <v>0</v>
      </c>
      <c r="T242" s="52" t="b">
        <f t="shared" si="27"/>
        <v>0</v>
      </c>
    </row>
    <row r="243" spans="3:20" ht="22.5" x14ac:dyDescent="0.2">
      <c r="C243" s="36" t="s">
        <v>52</v>
      </c>
      <c r="D243" s="46" t="s">
        <v>419</v>
      </c>
      <c r="E243" s="47" t="s">
        <v>420</v>
      </c>
      <c r="F243" s="47"/>
      <c r="G243" s="47"/>
      <c r="H243" s="47"/>
      <c r="I243" s="47"/>
      <c r="J243" s="47"/>
      <c r="K243" s="47"/>
      <c r="L243" s="48"/>
      <c r="M243" s="48" t="s">
        <v>421</v>
      </c>
      <c r="N243" s="52" t="str">
        <f t="shared" si="21"/>
        <v>22.2.1.</v>
      </c>
      <c r="O243" s="52" t="str">
        <f t="shared" si="22"/>
        <v>44.2 / 44.3</v>
      </c>
      <c r="P243" s="52" t="str">
        <f t="shared" si="23"/>
        <v>Расходы на реализацию в торговле / Управленческие расходы в торговле</v>
      </c>
      <c r="Q243" s="52">
        <f t="shared" si="24"/>
        <v>254</v>
      </c>
      <c r="R243" s="52" t="str">
        <f t="shared" si="25"/>
        <v>страхование автотранспорта добровольное</v>
      </c>
      <c r="S243" s="52" t="str">
        <f t="shared" si="26"/>
        <v>Элементы затрат</v>
      </c>
      <c r="T243" s="52" t="str">
        <f t="shared" si="27"/>
        <v>страхование автотранспорта добровольное</v>
      </c>
    </row>
    <row r="244" spans="3:20" ht="22.5" x14ac:dyDescent="0.2">
      <c r="C244" s="36" t="s">
        <v>1087</v>
      </c>
      <c r="D244" s="61" t="s">
        <v>125</v>
      </c>
      <c r="E244" s="61"/>
      <c r="F244" s="62" t="s">
        <v>126</v>
      </c>
      <c r="G244" s="62">
        <v>254</v>
      </c>
      <c r="H244" s="62" t="s">
        <v>420</v>
      </c>
      <c r="I244" s="62" t="s">
        <v>127</v>
      </c>
      <c r="J244" s="62" t="s">
        <v>128</v>
      </c>
      <c r="K244" s="62" t="s">
        <v>129</v>
      </c>
      <c r="L244" s="72"/>
      <c r="M244" s="73"/>
      <c r="N244" s="52" t="b">
        <f t="shared" si="21"/>
        <v>0</v>
      </c>
      <c r="O244" s="52" t="b">
        <f t="shared" si="22"/>
        <v>0</v>
      </c>
      <c r="P244" s="52" t="b">
        <f t="shared" si="23"/>
        <v>0</v>
      </c>
      <c r="Q244" s="52" t="b">
        <f t="shared" si="24"/>
        <v>0</v>
      </c>
      <c r="R244" s="52" t="b">
        <f t="shared" si="25"/>
        <v>0</v>
      </c>
      <c r="S244" s="52" t="b">
        <f t="shared" si="26"/>
        <v>0</v>
      </c>
      <c r="T244" s="52" t="b">
        <f t="shared" si="27"/>
        <v>0</v>
      </c>
    </row>
    <row r="245" spans="3:20" ht="22.5" x14ac:dyDescent="0.2">
      <c r="C245" s="36" t="s">
        <v>52</v>
      </c>
      <c r="D245" s="46" t="s">
        <v>422</v>
      </c>
      <c r="E245" s="47" t="s">
        <v>423</v>
      </c>
      <c r="F245" s="47" t="s">
        <v>67</v>
      </c>
      <c r="G245" s="47"/>
      <c r="H245" s="47"/>
      <c r="I245" s="47"/>
      <c r="J245" s="47"/>
      <c r="K245" s="47"/>
      <c r="L245" s="48"/>
      <c r="M245" s="48" t="s">
        <v>416</v>
      </c>
      <c r="N245" s="52" t="str">
        <f t="shared" si="21"/>
        <v>22.2.2.</v>
      </c>
      <c r="O245" s="52" t="str">
        <f t="shared" si="22"/>
        <v>44.2 / 44.3</v>
      </c>
      <c r="P245" s="52" t="str">
        <f t="shared" si="23"/>
        <v>Расходы на реализацию в торговле / Управленческие расходы в торговле</v>
      </c>
      <c r="Q245" s="52">
        <f t="shared" si="24"/>
        <v>220</v>
      </c>
      <c r="R245" s="52" t="str">
        <f t="shared" si="25"/>
        <v>страхование недвижимости добровольное</v>
      </c>
      <c r="S245" s="52" t="str">
        <f t="shared" si="26"/>
        <v>Элементы затрат</v>
      </c>
      <c r="T245" s="52" t="str">
        <f t="shared" si="27"/>
        <v>страхование недвижимости добровольное</v>
      </c>
    </row>
    <row r="246" spans="3:20" ht="22.5" x14ac:dyDescent="0.2">
      <c r="C246" s="36" t="s">
        <v>1087</v>
      </c>
      <c r="D246" s="61" t="s">
        <v>125</v>
      </c>
      <c r="E246" s="61"/>
      <c r="F246" s="62" t="s">
        <v>126</v>
      </c>
      <c r="G246" s="62">
        <v>220</v>
      </c>
      <c r="H246" s="62" t="s">
        <v>423</v>
      </c>
      <c r="I246" s="62" t="s">
        <v>127</v>
      </c>
      <c r="J246" s="62" t="s">
        <v>128</v>
      </c>
      <c r="K246" s="62" t="s">
        <v>129</v>
      </c>
      <c r="L246" s="72"/>
      <c r="M246" s="73"/>
      <c r="N246" s="52" t="b">
        <f t="shared" si="21"/>
        <v>0</v>
      </c>
      <c r="O246" s="52" t="b">
        <f t="shared" si="22"/>
        <v>0</v>
      </c>
      <c r="P246" s="52" t="b">
        <f t="shared" si="23"/>
        <v>0</v>
      </c>
      <c r="Q246" s="52" t="b">
        <f t="shared" si="24"/>
        <v>0</v>
      </c>
      <c r="R246" s="52" t="b">
        <f t="shared" si="25"/>
        <v>0</v>
      </c>
      <c r="S246" s="52" t="b">
        <f t="shared" si="26"/>
        <v>0</v>
      </c>
      <c r="T246" s="52" t="b">
        <f t="shared" si="27"/>
        <v>0</v>
      </c>
    </row>
    <row r="247" spans="3:20" ht="22.5" x14ac:dyDescent="0.2">
      <c r="C247" s="36" t="s">
        <v>52</v>
      </c>
      <c r="D247" s="46" t="s">
        <v>424</v>
      </c>
      <c r="E247" s="47" t="s">
        <v>425</v>
      </c>
      <c r="F247" s="47"/>
      <c r="G247" s="47"/>
      <c r="H247" s="47"/>
      <c r="I247" s="47"/>
      <c r="J247" s="47"/>
      <c r="K247" s="47"/>
      <c r="L247" s="48"/>
      <c r="M247" s="48" t="s">
        <v>426</v>
      </c>
      <c r="N247" s="52" t="b">
        <f t="shared" si="21"/>
        <v>0</v>
      </c>
      <c r="O247" s="52" t="b">
        <f t="shared" si="22"/>
        <v>0</v>
      </c>
      <c r="P247" s="52" t="b">
        <f t="shared" si="23"/>
        <v>0</v>
      </c>
      <c r="Q247" s="52" t="b">
        <f t="shared" si="24"/>
        <v>0</v>
      </c>
      <c r="R247" s="52" t="b">
        <f t="shared" si="25"/>
        <v>0</v>
      </c>
      <c r="S247" s="52" t="b">
        <f t="shared" si="26"/>
        <v>0</v>
      </c>
      <c r="T247" s="52" t="b">
        <f t="shared" si="27"/>
        <v>0</v>
      </c>
    </row>
    <row r="248" spans="3:20" x14ac:dyDescent="0.2">
      <c r="C248" s="36" t="s">
        <v>52</v>
      </c>
      <c r="D248" s="46" t="s">
        <v>427</v>
      </c>
      <c r="E248" s="47" t="s">
        <v>425</v>
      </c>
      <c r="F248" s="47"/>
      <c r="G248" s="47"/>
      <c r="H248" s="47"/>
      <c r="I248" s="47"/>
      <c r="J248" s="47"/>
      <c r="K248" s="47"/>
      <c r="L248" s="48"/>
      <c r="M248" s="48"/>
      <c r="N248" s="52" t="str">
        <f t="shared" si="21"/>
        <v>22.2.3.1.</v>
      </c>
      <c r="O248" s="52" t="str">
        <f t="shared" si="22"/>
        <v>44.2 / 44.3</v>
      </c>
      <c r="P248" s="52" t="str">
        <f t="shared" si="23"/>
        <v>Расходы на реализацию в торговле / Управленческие расходы в торговле</v>
      </c>
      <c r="Q248" s="52">
        <f t="shared" si="24"/>
        <v>223</v>
      </c>
      <c r="R248" s="52" t="str">
        <f t="shared" si="25"/>
        <v>страхование тмц</v>
      </c>
      <c r="S248" s="52" t="str">
        <f t="shared" si="26"/>
        <v>Элементы затрат</v>
      </c>
      <c r="T248" s="52" t="str">
        <f t="shared" si="27"/>
        <v>страхование тмц</v>
      </c>
    </row>
    <row r="249" spans="3:20" ht="22.5" x14ac:dyDescent="0.2">
      <c r="C249" s="36" t="s">
        <v>1087</v>
      </c>
      <c r="D249" s="61" t="s">
        <v>125</v>
      </c>
      <c r="E249" s="61"/>
      <c r="F249" s="62" t="s">
        <v>126</v>
      </c>
      <c r="G249" s="62">
        <v>223</v>
      </c>
      <c r="H249" s="62" t="s">
        <v>425</v>
      </c>
      <c r="I249" s="62" t="s">
        <v>127</v>
      </c>
      <c r="J249" s="62" t="s">
        <v>128</v>
      </c>
      <c r="K249" s="62" t="s">
        <v>129</v>
      </c>
      <c r="L249" s="72"/>
      <c r="M249" s="73"/>
      <c r="N249" s="52" t="b">
        <f t="shared" si="21"/>
        <v>0</v>
      </c>
      <c r="O249" s="52" t="b">
        <f t="shared" si="22"/>
        <v>0</v>
      </c>
      <c r="P249" s="52" t="b">
        <f t="shared" si="23"/>
        <v>0</v>
      </c>
      <c r="Q249" s="52" t="b">
        <f t="shared" si="24"/>
        <v>0</v>
      </c>
      <c r="R249" s="52" t="b">
        <f t="shared" si="25"/>
        <v>0</v>
      </c>
      <c r="S249" s="52" t="b">
        <f t="shared" si="26"/>
        <v>0</v>
      </c>
      <c r="T249" s="52" t="b">
        <f t="shared" si="27"/>
        <v>0</v>
      </c>
    </row>
    <row r="250" spans="3:20" x14ac:dyDescent="0.2">
      <c r="C250" s="36" t="s">
        <v>52</v>
      </c>
      <c r="D250" s="46" t="s">
        <v>428</v>
      </c>
      <c r="E250" s="47" t="s">
        <v>429</v>
      </c>
      <c r="F250" s="47"/>
      <c r="G250" s="47"/>
      <c r="H250" s="47"/>
      <c r="I250" s="47"/>
      <c r="J250" s="47"/>
      <c r="K250" s="47"/>
      <c r="L250" s="48"/>
      <c r="M250" s="48"/>
      <c r="N250" s="52" t="str">
        <f t="shared" si="21"/>
        <v>22.2.3.2.</v>
      </c>
      <c r="O250" s="52" t="str">
        <f t="shared" si="22"/>
        <v>44.2 / 44.3</v>
      </c>
      <c r="P250" s="52" t="str">
        <f t="shared" si="23"/>
        <v>Расходы на реализацию в торговле / Управленческие расходы в торговле</v>
      </c>
      <c r="Q250" s="52">
        <f t="shared" si="24"/>
        <v>221</v>
      </c>
      <c r="R250" s="52" t="str">
        <f t="shared" si="25"/>
        <v>Страхование оборудования</v>
      </c>
      <c r="S250" s="52" t="str">
        <f t="shared" si="26"/>
        <v>Элементы затрат</v>
      </c>
      <c r="T250" s="52" t="str">
        <f t="shared" si="27"/>
        <v>Страхование оборудования</v>
      </c>
    </row>
    <row r="251" spans="3:20" ht="22.5" x14ac:dyDescent="0.2">
      <c r="C251" s="36" t="s">
        <v>1087</v>
      </c>
      <c r="D251" s="61" t="s">
        <v>125</v>
      </c>
      <c r="E251" s="61"/>
      <c r="F251" s="62" t="s">
        <v>126</v>
      </c>
      <c r="G251" s="62">
        <v>221</v>
      </c>
      <c r="H251" s="62" t="s">
        <v>429</v>
      </c>
      <c r="I251" s="62" t="s">
        <v>127</v>
      </c>
      <c r="J251" s="62" t="s">
        <v>128</v>
      </c>
      <c r="K251" s="62" t="s">
        <v>129</v>
      </c>
      <c r="L251" s="72"/>
      <c r="M251" s="73"/>
      <c r="N251" s="52" t="b">
        <f t="shared" si="21"/>
        <v>0</v>
      </c>
      <c r="O251" s="52" t="b">
        <f t="shared" si="22"/>
        <v>0</v>
      </c>
      <c r="P251" s="52" t="b">
        <f t="shared" si="23"/>
        <v>0</v>
      </c>
      <c r="Q251" s="52" t="b">
        <f t="shared" si="24"/>
        <v>0</v>
      </c>
      <c r="R251" s="52" t="b">
        <f t="shared" si="25"/>
        <v>0</v>
      </c>
      <c r="S251" s="52" t="b">
        <f t="shared" si="26"/>
        <v>0</v>
      </c>
      <c r="T251" s="52" t="b">
        <f t="shared" si="27"/>
        <v>0</v>
      </c>
    </row>
    <row r="252" spans="3:20" ht="22.5" hidden="1" x14ac:dyDescent="0.2">
      <c r="C252" s="35"/>
      <c r="D252" s="35" t="s">
        <v>98</v>
      </c>
      <c r="E252" s="35" t="s">
        <v>99</v>
      </c>
      <c r="F252" s="35" t="s">
        <v>100</v>
      </c>
      <c r="G252" s="35" t="s">
        <v>101</v>
      </c>
      <c r="H252" s="35" t="s">
        <v>102</v>
      </c>
      <c r="I252" s="35" t="s">
        <v>103</v>
      </c>
      <c r="J252" s="35" t="s">
        <v>104</v>
      </c>
      <c r="K252" s="35" t="s">
        <v>105</v>
      </c>
      <c r="L252" s="35" t="s">
        <v>106</v>
      </c>
      <c r="M252" s="35" t="s">
        <v>107</v>
      </c>
      <c r="N252" s="52" t="b">
        <f t="shared" si="21"/>
        <v>0</v>
      </c>
      <c r="O252" s="52" t="b">
        <f t="shared" si="22"/>
        <v>0</v>
      </c>
      <c r="P252" s="52" t="b">
        <f t="shared" si="23"/>
        <v>0</v>
      </c>
      <c r="Q252" s="52" t="b">
        <f t="shared" si="24"/>
        <v>0</v>
      </c>
      <c r="R252" s="52" t="b">
        <f t="shared" si="25"/>
        <v>0</v>
      </c>
      <c r="S252" s="52" t="b">
        <f t="shared" si="26"/>
        <v>0</v>
      </c>
      <c r="T252" s="52" t="b">
        <f t="shared" si="27"/>
        <v>0</v>
      </c>
    </row>
    <row r="253" spans="3:20" x14ac:dyDescent="0.2">
      <c r="C253" s="36" t="s">
        <v>52</v>
      </c>
      <c r="D253" s="37">
        <v>23</v>
      </c>
      <c r="E253" s="38" t="s">
        <v>430</v>
      </c>
      <c r="F253" s="38"/>
      <c r="G253" s="38"/>
      <c r="H253" s="38"/>
      <c r="I253" s="38"/>
      <c r="J253" s="38"/>
      <c r="K253" s="38"/>
      <c r="L253" s="39"/>
      <c r="M253" s="39"/>
      <c r="N253" s="52" t="b">
        <f t="shared" si="21"/>
        <v>0</v>
      </c>
      <c r="O253" s="52" t="b">
        <f t="shared" si="22"/>
        <v>0</v>
      </c>
      <c r="P253" s="52" t="b">
        <f t="shared" si="23"/>
        <v>0</v>
      </c>
      <c r="Q253" s="52" t="b">
        <f t="shared" si="24"/>
        <v>0</v>
      </c>
      <c r="R253" s="52" t="b">
        <f t="shared" si="25"/>
        <v>0</v>
      </c>
      <c r="S253" s="52" t="b">
        <f t="shared" si="26"/>
        <v>0</v>
      </c>
      <c r="T253" s="52" t="b">
        <f t="shared" si="27"/>
        <v>0</v>
      </c>
    </row>
    <row r="254" spans="3:20" x14ac:dyDescent="0.2">
      <c r="C254" s="36" t="s">
        <v>52</v>
      </c>
      <c r="D254" s="46"/>
      <c r="E254" s="47" t="s">
        <v>19</v>
      </c>
      <c r="F254" s="47"/>
      <c r="G254" s="47"/>
      <c r="H254" s="47"/>
      <c r="I254" s="47"/>
      <c r="J254" s="47"/>
      <c r="K254" s="47"/>
      <c r="L254" s="48"/>
      <c r="M254" s="48" t="s">
        <v>431</v>
      </c>
      <c r="N254" s="52" t="b">
        <f t="shared" si="21"/>
        <v>0</v>
      </c>
      <c r="O254" s="52" t="b">
        <f t="shared" si="22"/>
        <v>0</v>
      </c>
      <c r="P254" s="52" t="b">
        <f t="shared" si="23"/>
        <v>0</v>
      </c>
      <c r="Q254" s="52" t="b">
        <f t="shared" si="24"/>
        <v>0</v>
      </c>
      <c r="R254" s="52" t="b">
        <f t="shared" si="25"/>
        <v>0</v>
      </c>
      <c r="S254" s="52" t="b">
        <f t="shared" si="26"/>
        <v>0</v>
      </c>
      <c r="T254" s="52" t="b">
        <f t="shared" si="27"/>
        <v>0</v>
      </c>
    </row>
    <row r="255" spans="3:20" x14ac:dyDescent="0.2">
      <c r="C255" s="36" t="s">
        <v>52</v>
      </c>
      <c r="D255" s="46"/>
      <c r="E255" s="47" t="s">
        <v>112</v>
      </c>
      <c r="F255" s="47"/>
      <c r="G255" s="47"/>
      <c r="H255" s="47"/>
      <c r="I255" s="47"/>
      <c r="J255" s="47"/>
      <c r="K255" s="47"/>
      <c r="L255" s="48"/>
      <c r="M255" s="48" t="s">
        <v>432</v>
      </c>
      <c r="N255" s="52" t="b">
        <f t="shared" si="21"/>
        <v>0</v>
      </c>
      <c r="O255" s="52" t="b">
        <f t="shared" si="22"/>
        <v>0</v>
      </c>
      <c r="P255" s="52" t="b">
        <f t="shared" si="23"/>
        <v>0</v>
      </c>
      <c r="Q255" s="52" t="b">
        <f t="shared" si="24"/>
        <v>0</v>
      </c>
      <c r="R255" s="52" t="b">
        <f t="shared" si="25"/>
        <v>0</v>
      </c>
      <c r="S255" s="52" t="b">
        <f t="shared" si="26"/>
        <v>0</v>
      </c>
      <c r="T255" s="52" t="b">
        <f t="shared" si="27"/>
        <v>0</v>
      </c>
    </row>
    <row r="256" spans="3:20" ht="22.5" x14ac:dyDescent="0.2">
      <c r="C256" s="36" t="s">
        <v>52</v>
      </c>
      <c r="D256" s="46" t="s">
        <v>433</v>
      </c>
      <c r="E256" s="47" t="s">
        <v>434</v>
      </c>
      <c r="F256" s="47"/>
      <c r="G256" s="47"/>
      <c r="H256" s="47"/>
      <c r="I256" s="47"/>
      <c r="J256" s="47"/>
      <c r="K256" s="47"/>
      <c r="L256" s="48"/>
      <c r="M256" s="48" t="s">
        <v>435</v>
      </c>
      <c r="N256" s="52" t="b">
        <f t="shared" si="21"/>
        <v>0</v>
      </c>
      <c r="O256" s="52" t="b">
        <f t="shared" si="22"/>
        <v>0</v>
      </c>
      <c r="P256" s="52" t="b">
        <f t="shared" si="23"/>
        <v>0</v>
      </c>
      <c r="Q256" s="52" t="b">
        <f t="shared" si="24"/>
        <v>0</v>
      </c>
      <c r="R256" s="52" t="b">
        <f t="shared" si="25"/>
        <v>0</v>
      </c>
      <c r="S256" s="52" t="b">
        <f t="shared" si="26"/>
        <v>0</v>
      </c>
      <c r="T256" s="52" t="b">
        <f t="shared" si="27"/>
        <v>0</v>
      </c>
    </row>
    <row r="257" spans="3:20" x14ac:dyDescent="0.2">
      <c r="C257" s="36" t="s">
        <v>52</v>
      </c>
      <c r="D257" s="46" t="s">
        <v>436</v>
      </c>
      <c r="E257" s="47" t="s">
        <v>437</v>
      </c>
      <c r="F257" s="47"/>
      <c r="G257" s="47"/>
      <c r="H257" s="47"/>
      <c r="I257" s="47"/>
      <c r="J257" s="47"/>
      <c r="K257" s="47"/>
      <c r="L257" s="48"/>
      <c r="M257" s="48"/>
      <c r="N257" s="52" t="str">
        <f t="shared" si="21"/>
        <v>23.1.1.</v>
      </c>
      <c r="O257" s="52" t="str">
        <f t="shared" si="22"/>
        <v>44.2 / 44.3</v>
      </c>
      <c r="P257" s="52" t="str">
        <f t="shared" si="23"/>
        <v>Расходы на реализацию в торговле / Управленческие расходы в торговле</v>
      </c>
      <c r="Q257" s="52">
        <f t="shared" si="24"/>
        <v>208</v>
      </c>
      <c r="R257" s="52" t="str">
        <f t="shared" si="25"/>
        <v>Канцтовары</v>
      </c>
      <c r="S257" s="52" t="str">
        <f t="shared" si="26"/>
        <v>Элементы затрат</v>
      </c>
      <c r="T257" s="52" t="str">
        <f t="shared" si="27"/>
        <v>Канцтовары</v>
      </c>
    </row>
    <row r="258" spans="3:20" ht="22.5" x14ac:dyDescent="0.2">
      <c r="C258" s="36" t="s">
        <v>1087</v>
      </c>
      <c r="D258" s="61" t="s">
        <v>125</v>
      </c>
      <c r="E258" s="61"/>
      <c r="F258" s="62" t="s">
        <v>126</v>
      </c>
      <c r="G258" s="62">
        <v>208</v>
      </c>
      <c r="H258" s="62" t="s">
        <v>437</v>
      </c>
      <c r="I258" s="62" t="s">
        <v>127</v>
      </c>
      <c r="J258" s="62" t="s">
        <v>128</v>
      </c>
      <c r="K258" s="62" t="s">
        <v>129</v>
      </c>
      <c r="L258" s="72"/>
      <c r="M258" s="73"/>
      <c r="N258" s="52" t="b">
        <f t="shared" si="21"/>
        <v>0</v>
      </c>
      <c r="O258" s="52" t="b">
        <f t="shared" si="22"/>
        <v>0</v>
      </c>
      <c r="P258" s="52" t="b">
        <f t="shared" si="23"/>
        <v>0</v>
      </c>
      <c r="Q258" s="52" t="b">
        <f t="shared" si="24"/>
        <v>0</v>
      </c>
      <c r="R258" s="52" t="b">
        <f t="shared" si="25"/>
        <v>0</v>
      </c>
      <c r="S258" s="52" t="b">
        <f t="shared" si="26"/>
        <v>0</v>
      </c>
      <c r="T258" s="52" t="b">
        <f t="shared" si="27"/>
        <v>0</v>
      </c>
    </row>
    <row r="259" spans="3:20" x14ac:dyDescent="0.2">
      <c r="C259" s="36" t="s">
        <v>52</v>
      </c>
      <c r="D259" s="46" t="s">
        <v>438</v>
      </c>
      <c r="E259" s="47" t="s">
        <v>439</v>
      </c>
      <c r="F259" s="47"/>
      <c r="G259" s="47"/>
      <c r="H259" s="47"/>
      <c r="I259" s="47"/>
      <c r="J259" s="47"/>
      <c r="K259" s="47"/>
      <c r="L259" s="48"/>
      <c r="M259" s="48"/>
      <c r="N259" s="52" t="str">
        <f t="shared" ref="N259:N322" si="28">IF(AND($C259="Упр", $C260="1s"), D259)</f>
        <v>23.1.2.</v>
      </c>
      <c r="O259" s="52" t="str">
        <f t="shared" ref="O259:O322" si="29">IF(AND($C259="Упр", $C260="1s"), D260)</f>
        <v>44.2 / 44.3</v>
      </c>
      <c r="P259" s="52" t="str">
        <f t="shared" ref="P259:P322" si="30">IF(AND($C259="Упр", $C260="1s"), F260)</f>
        <v>Расходы на реализацию в торговле / Управленческие расходы в торговле</v>
      </c>
      <c r="Q259" s="52">
        <f t="shared" ref="Q259:Q322" si="31">IF(AND($C259="Упр", $C260="1s"), G260)</f>
        <v>210</v>
      </c>
      <c r="R259" s="52" t="str">
        <f t="shared" ref="R259:R322" si="32">IF(AND($C259="Упр", $C260="1s"), H260)</f>
        <v>Расходы на бланки</v>
      </c>
      <c r="S259" s="52" t="str">
        <f t="shared" ref="S259:S322" si="33">IF(AND($C259="Упр", $C260="1s"), I260)</f>
        <v>Элементы затрат</v>
      </c>
      <c r="T259" s="52" t="str">
        <f t="shared" ref="T259:T322" si="34">IF(AND($C259="Упр", $C260="1s"), E259)</f>
        <v>Расходы на бланки</v>
      </c>
    </row>
    <row r="260" spans="3:20" ht="22.5" x14ac:dyDescent="0.2">
      <c r="C260" s="36" t="s">
        <v>1087</v>
      </c>
      <c r="D260" s="61" t="s">
        <v>125</v>
      </c>
      <c r="E260" s="61"/>
      <c r="F260" s="62" t="s">
        <v>126</v>
      </c>
      <c r="G260" s="62">
        <v>210</v>
      </c>
      <c r="H260" s="62" t="s">
        <v>439</v>
      </c>
      <c r="I260" s="62" t="s">
        <v>127</v>
      </c>
      <c r="J260" s="62" t="s">
        <v>128</v>
      </c>
      <c r="K260" s="62" t="s">
        <v>129</v>
      </c>
      <c r="L260" s="72"/>
      <c r="M260" s="73"/>
      <c r="N260" s="52" t="b">
        <f t="shared" si="28"/>
        <v>0</v>
      </c>
      <c r="O260" s="52" t="b">
        <f t="shared" si="29"/>
        <v>0</v>
      </c>
      <c r="P260" s="52" t="b">
        <f t="shared" si="30"/>
        <v>0</v>
      </c>
      <c r="Q260" s="52" t="b">
        <f t="shared" si="31"/>
        <v>0</v>
      </c>
      <c r="R260" s="52" t="b">
        <f t="shared" si="32"/>
        <v>0</v>
      </c>
      <c r="S260" s="52" t="b">
        <f t="shared" si="33"/>
        <v>0</v>
      </c>
      <c r="T260" s="52" t="b">
        <f t="shared" si="34"/>
        <v>0</v>
      </c>
    </row>
    <row r="261" spans="3:20" ht="22.5" x14ac:dyDescent="0.2">
      <c r="C261" s="36" t="s">
        <v>52</v>
      </c>
      <c r="D261" s="46" t="s">
        <v>440</v>
      </c>
      <c r="E261" s="47" t="s">
        <v>441</v>
      </c>
      <c r="F261" s="47"/>
      <c r="G261" s="47"/>
      <c r="H261" s="47"/>
      <c r="I261" s="47"/>
      <c r="J261" s="47"/>
      <c r="K261" s="47"/>
      <c r="L261" s="48"/>
      <c r="M261" s="48" t="s">
        <v>442</v>
      </c>
      <c r="N261" s="52" t="str">
        <f t="shared" si="28"/>
        <v>23.2.</v>
      </c>
      <c r="O261" s="52" t="str">
        <f t="shared" si="29"/>
        <v>44.2 / 44.3</v>
      </c>
      <c r="P261" s="52" t="str">
        <f t="shared" si="30"/>
        <v>Расходы на реализацию в торговле / Управленческие расходы в торговле</v>
      </c>
      <c r="Q261" s="52">
        <f t="shared" si="31"/>
        <v>214</v>
      </c>
      <c r="R261" s="52" t="str">
        <f t="shared" si="32"/>
        <v>Хозрасходы</v>
      </c>
      <c r="S261" s="52" t="str">
        <f t="shared" si="33"/>
        <v>Элементы затрат</v>
      </c>
      <c r="T261" s="52" t="str">
        <f t="shared" si="34"/>
        <v>Хозрасходы</v>
      </c>
    </row>
    <row r="262" spans="3:20" ht="22.5" x14ac:dyDescent="0.2">
      <c r="C262" s="36" t="s">
        <v>1087</v>
      </c>
      <c r="D262" s="61" t="s">
        <v>125</v>
      </c>
      <c r="E262" s="61"/>
      <c r="F262" s="62" t="s">
        <v>126</v>
      </c>
      <c r="G262" s="62">
        <v>214</v>
      </c>
      <c r="H262" s="62" t="s">
        <v>441</v>
      </c>
      <c r="I262" s="62" t="s">
        <v>127</v>
      </c>
      <c r="J262" s="62" t="s">
        <v>128</v>
      </c>
      <c r="K262" s="62" t="s">
        <v>129</v>
      </c>
      <c r="L262" s="72"/>
      <c r="M262" s="73"/>
      <c r="N262" s="52" t="b">
        <f t="shared" si="28"/>
        <v>0</v>
      </c>
      <c r="O262" s="52" t="b">
        <f t="shared" si="29"/>
        <v>0</v>
      </c>
      <c r="P262" s="52" t="b">
        <f t="shared" si="30"/>
        <v>0</v>
      </c>
      <c r="Q262" s="52" t="b">
        <f t="shared" si="31"/>
        <v>0</v>
      </c>
      <c r="R262" s="52" t="b">
        <f t="shared" si="32"/>
        <v>0</v>
      </c>
      <c r="S262" s="52" t="b">
        <f t="shared" si="33"/>
        <v>0</v>
      </c>
      <c r="T262" s="52" t="b">
        <f t="shared" si="34"/>
        <v>0</v>
      </c>
    </row>
    <row r="263" spans="3:20" ht="45" x14ac:dyDescent="0.2">
      <c r="C263" s="36" t="s">
        <v>52</v>
      </c>
      <c r="D263" s="46" t="s">
        <v>443</v>
      </c>
      <c r="E263" s="87" t="s">
        <v>444</v>
      </c>
      <c r="F263" s="47"/>
      <c r="G263" s="47"/>
      <c r="H263" s="47"/>
      <c r="I263" s="47"/>
      <c r="J263" s="47"/>
      <c r="K263" s="47"/>
      <c r="L263" s="48" t="s">
        <v>445</v>
      </c>
      <c r="M263" s="48" t="s">
        <v>442</v>
      </c>
      <c r="N263" s="52" t="b">
        <f t="shared" si="28"/>
        <v>0</v>
      </c>
      <c r="O263" s="52" t="b">
        <f t="shared" si="29"/>
        <v>0</v>
      </c>
      <c r="P263" s="52" t="b">
        <f t="shared" si="30"/>
        <v>0</v>
      </c>
      <c r="Q263" s="52" t="b">
        <f t="shared" si="31"/>
        <v>0</v>
      </c>
      <c r="R263" s="52" t="b">
        <f t="shared" si="32"/>
        <v>0</v>
      </c>
      <c r="S263" s="52" t="b">
        <f t="shared" si="33"/>
        <v>0</v>
      </c>
      <c r="T263" s="52" t="b">
        <f t="shared" si="34"/>
        <v>0</v>
      </c>
    </row>
    <row r="264" spans="3:20" x14ac:dyDescent="0.2">
      <c r="C264" s="36" t="s">
        <v>52</v>
      </c>
      <c r="D264" s="46" t="s">
        <v>446</v>
      </c>
      <c r="E264" s="47" t="s">
        <v>447</v>
      </c>
      <c r="F264" s="47"/>
      <c r="G264" s="47"/>
      <c r="H264" s="47"/>
      <c r="I264" s="47"/>
      <c r="J264" s="47"/>
      <c r="K264" s="47"/>
      <c r="L264" s="48"/>
      <c r="M264" s="48"/>
      <c r="N264" s="52" t="str">
        <f t="shared" si="28"/>
        <v>23.3.1.</v>
      </c>
      <c r="O264" s="52" t="str">
        <f t="shared" si="29"/>
        <v>44.2 / 44.3</v>
      </c>
      <c r="P264" s="52" t="str">
        <f t="shared" si="30"/>
        <v>Расходы на реализацию в торговле / Управленческие расходы в торговле</v>
      </c>
      <c r="Q264" s="52">
        <f t="shared" si="31"/>
        <v>15</v>
      </c>
      <c r="R264" s="52" t="str">
        <f t="shared" si="32"/>
        <v>Амортизация МБП</v>
      </c>
      <c r="S264" s="52" t="str">
        <f t="shared" si="33"/>
        <v>Элементы затрат</v>
      </c>
      <c r="T264" s="52" t="str">
        <f t="shared" si="34"/>
        <v>Амортизация МБП</v>
      </c>
    </row>
    <row r="265" spans="3:20" ht="22.5" x14ac:dyDescent="0.2">
      <c r="C265" s="36" t="s">
        <v>1087</v>
      </c>
      <c r="D265" s="61" t="s">
        <v>125</v>
      </c>
      <c r="E265" s="61"/>
      <c r="F265" s="62" t="s">
        <v>126</v>
      </c>
      <c r="G265" s="62">
        <v>15</v>
      </c>
      <c r="H265" s="62" t="s">
        <v>447</v>
      </c>
      <c r="I265" s="62" t="s">
        <v>127</v>
      </c>
      <c r="J265" s="62" t="s">
        <v>128</v>
      </c>
      <c r="K265" s="62" t="s">
        <v>129</v>
      </c>
      <c r="L265" s="72"/>
      <c r="M265" s="73"/>
      <c r="N265" s="52" t="b">
        <f t="shared" si="28"/>
        <v>0</v>
      </c>
      <c r="O265" s="52" t="b">
        <f t="shared" si="29"/>
        <v>0</v>
      </c>
      <c r="P265" s="52" t="b">
        <f t="shared" si="30"/>
        <v>0</v>
      </c>
      <c r="Q265" s="52" t="b">
        <f t="shared" si="31"/>
        <v>0</v>
      </c>
      <c r="R265" s="52" t="b">
        <f t="shared" si="32"/>
        <v>0</v>
      </c>
      <c r="S265" s="52" t="b">
        <f t="shared" si="33"/>
        <v>0</v>
      </c>
      <c r="T265" s="52" t="b">
        <f t="shared" si="34"/>
        <v>0</v>
      </c>
    </row>
    <row r="266" spans="3:20" x14ac:dyDescent="0.2">
      <c r="C266" s="36" t="s">
        <v>52</v>
      </c>
      <c r="D266" s="46" t="s">
        <v>448</v>
      </c>
      <c r="E266" s="47" t="s">
        <v>444</v>
      </c>
      <c r="F266" s="47"/>
      <c r="G266" s="47"/>
      <c r="H266" s="47"/>
      <c r="I266" s="47"/>
      <c r="J266" s="47"/>
      <c r="K266" s="47"/>
      <c r="L266" s="48"/>
      <c r="M266" s="48"/>
      <c r="N266" s="52" t="str">
        <f t="shared" si="28"/>
        <v>23.3.2.</v>
      </c>
      <c r="O266" s="52" t="str">
        <f t="shared" si="29"/>
        <v>44.2 / 44.3</v>
      </c>
      <c r="P266" s="52" t="str">
        <f t="shared" si="30"/>
        <v>Расходы на реализацию в торговле / Управленческие расходы в торговле</v>
      </c>
      <c r="Q266" s="52">
        <f t="shared" si="31"/>
        <v>212</v>
      </c>
      <c r="R266" s="52" t="str">
        <f t="shared" si="32"/>
        <v>Списание МБП</v>
      </c>
      <c r="S266" s="52" t="str">
        <f t="shared" si="33"/>
        <v>Элементы затрат</v>
      </c>
      <c r="T266" s="52" t="str">
        <f t="shared" si="34"/>
        <v>Списание МБП</v>
      </c>
    </row>
    <row r="267" spans="3:20" ht="22.5" x14ac:dyDescent="0.2">
      <c r="C267" s="36" t="s">
        <v>1087</v>
      </c>
      <c r="D267" s="61" t="s">
        <v>125</v>
      </c>
      <c r="E267" s="61"/>
      <c r="F267" s="62" t="s">
        <v>126</v>
      </c>
      <c r="G267" s="62">
        <v>212</v>
      </c>
      <c r="H267" s="62" t="s">
        <v>444</v>
      </c>
      <c r="I267" s="62" t="s">
        <v>127</v>
      </c>
      <c r="J267" s="62" t="s">
        <v>128</v>
      </c>
      <c r="K267" s="62" t="s">
        <v>129</v>
      </c>
      <c r="L267" s="72"/>
      <c r="M267" s="73"/>
      <c r="N267" s="52" t="b">
        <f t="shared" si="28"/>
        <v>0</v>
      </c>
      <c r="O267" s="52" t="b">
        <f t="shared" si="29"/>
        <v>0</v>
      </c>
      <c r="P267" s="52" t="b">
        <f t="shared" si="30"/>
        <v>0</v>
      </c>
      <c r="Q267" s="52" t="b">
        <f t="shared" si="31"/>
        <v>0</v>
      </c>
      <c r="R267" s="52" t="b">
        <f t="shared" si="32"/>
        <v>0</v>
      </c>
      <c r="S267" s="52" t="b">
        <f t="shared" si="33"/>
        <v>0</v>
      </c>
      <c r="T267" s="52" t="b">
        <f t="shared" si="34"/>
        <v>0</v>
      </c>
    </row>
    <row r="268" spans="3:20" x14ac:dyDescent="0.2">
      <c r="C268" s="36" t="s">
        <v>52</v>
      </c>
      <c r="D268" s="46" t="s">
        <v>449</v>
      </c>
      <c r="E268" s="47" t="s">
        <v>450</v>
      </c>
      <c r="F268" s="47"/>
      <c r="G268" s="47"/>
      <c r="H268" s="47"/>
      <c r="I268" s="47"/>
      <c r="J268" s="47"/>
      <c r="K268" s="47"/>
      <c r="L268" s="48"/>
      <c r="M268" s="47" t="s">
        <v>71</v>
      </c>
      <c r="N268" s="52" t="b">
        <f t="shared" si="28"/>
        <v>0</v>
      </c>
      <c r="O268" s="52" t="b">
        <f t="shared" si="29"/>
        <v>0</v>
      </c>
      <c r="P268" s="52" t="b">
        <f t="shared" si="30"/>
        <v>0</v>
      </c>
      <c r="Q268" s="52" t="b">
        <f t="shared" si="31"/>
        <v>0</v>
      </c>
      <c r="R268" s="52" t="b">
        <f t="shared" si="32"/>
        <v>0</v>
      </c>
      <c r="S268" s="52" t="b">
        <f t="shared" si="33"/>
        <v>0</v>
      </c>
      <c r="T268" s="52" t="b">
        <f t="shared" si="34"/>
        <v>0</v>
      </c>
    </row>
    <row r="269" spans="3:20" x14ac:dyDescent="0.2">
      <c r="C269" s="36" t="s">
        <v>52</v>
      </c>
      <c r="D269" s="46" t="s">
        <v>451</v>
      </c>
      <c r="E269" s="47" t="s">
        <v>452</v>
      </c>
      <c r="F269" s="47"/>
      <c r="G269" s="47"/>
      <c r="H269" s="47"/>
      <c r="I269" s="47"/>
      <c r="J269" s="47"/>
      <c r="K269" s="47"/>
      <c r="L269" s="48"/>
      <c r="M269" s="48"/>
      <c r="N269" s="52" t="str">
        <f t="shared" si="28"/>
        <v>23.4.1.</v>
      </c>
      <c r="O269" s="52" t="str">
        <f t="shared" si="29"/>
        <v>90.10.1 / 90.10.11</v>
      </c>
      <c r="P269" s="52" t="str">
        <f t="shared" si="30"/>
        <v>Прочие расходы по текущей деятельности / -||- (по местам хранения)</v>
      </c>
      <c r="Q269" s="52">
        <f t="shared" si="31"/>
        <v>130</v>
      </c>
      <c r="R269" s="52" t="str">
        <f t="shared" si="32"/>
        <v>Списание запасов (порча (утрата))</v>
      </c>
      <c r="S269" s="52" t="str">
        <f t="shared" si="33"/>
        <v>Виды прочих расходов</v>
      </c>
      <c r="T269" s="52" t="str">
        <f t="shared" si="34"/>
        <v>Списание запасов (порча (утрата))</v>
      </c>
    </row>
    <row r="270" spans="3:20" ht="33.75" x14ac:dyDescent="0.2">
      <c r="C270" s="36" t="s">
        <v>1087</v>
      </c>
      <c r="D270" s="62" t="s">
        <v>132</v>
      </c>
      <c r="E270" s="62"/>
      <c r="F270" s="62" t="s">
        <v>133</v>
      </c>
      <c r="G270" s="62">
        <v>130</v>
      </c>
      <c r="H270" s="62" t="s">
        <v>452</v>
      </c>
      <c r="I270" s="62" t="s">
        <v>134</v>
      </c>
      <c r="J270" s="62" t="s">
        <v>135</v>
      </c>
      <c r="K270" s="62" t="s">
        <v>129</v>
      </c>
      <c r="L270" s="72"/>
      <c r="M270" s="73"/>
      <c r="N270" s="52" t="b">
        <f t="shared" si="28"/>
        <v>0</v>
      </c>
      <c r="O270" s="52" t="b">
        <f t="shared" si="29"/>
        <v>0</v>
      </c>
      <c r="P270" s="52" t="b">
        <f t="shared" si="30"/>
        <v>0</v>
      </c>
      <c r="Q270" s="52" t="b">
        <f t="shared" si="31"/>
        <v>0</v>
      </c>
      <c r="R270" s="52" t="b">
        <f t="shared" si="32"/>
        <v>0</v>
      </c>
      <c r="S270" s="52" t="b">
        <f t="shared" si="33"/>
        <v>0</v>
      </c>
      <c r="T270" s="52" t="b">
        <f t="shared" si="34"/>
        <v>0</v>
      </c>
    </row>
    <row r="271" spans="3:20" x14ac:dyDescent="0.2">
      <c r="C271" s="36" t="s">
        <v>52</v>
      </c>
      <c r="D271" s="46" t="s">
        <v>453</v>
      </c>
      <c r="E271" s="47" t="s">
        <v>454</v>
      </c>
      <c r="F271" s="47"/>
      <c r="G271" s="47"/>
      <c r="H271" s="47"/>
      <c r="I271" s="47"/>
      <c r="J271" s="47"/>
      <c r="K271" s="47"/>
      <c r="L271" s="48"/>
      <c r="M271" s="48"/>
      <c r="N271" s="52" t="str">
        <f t="shared" si="28"/>
        <v>23.4.2.</v>
      </c>
      <c r="O271" s="52" t="str">
        <f t="shared" si="29"/>
        <v>44.2 / 44.3</v>
      </c>
      <c r="P271" s="52" t="str">
        <f t="shared" si="30"/>
        <v>Расходы на реализацию в торговле / Управленческие расходы в торговле</v>
      </c>
      <c r="Q271" s="52">
        <f t="shared" si="31"/>
        <v>349</v>
      </c>
      <c r="R271" s="52" t="str">
        <f t="shared" si="32"/>
        <v>Амортизация спецодежды</v>
      </c>
      <c r="S271" s="52" t="str">
        <f t="shared" si="33"/>
        <v>Элементы затрат</v>
      </c>
      <c r="T271" s="52" t="str">
        <f t="shared" si="34"/>
        <v>Амортизация спецодежды</v>
      </c>
    </row>
    <row r="272" spans="3:20" ht="22.5" x14ac:dyDescent="0.2">
      <c r="C272" s="36" t="s">
        <v>1087</v>
      </c>
      <c r="D272" s="61" t="s">
        <v>125</v>
      </c>
      <c r="E272" s="61"/>
      <c r="F272" s="62" t="s">
        <v>126</v>
      </c>
      <c r="G272" s="62">
        <v>349</v>
      </c>
      <c r="H272" s="62" t="s">
        <v>454</v>
      </c>
      <c r="I272" s="62" t="s">
        <v>127</v>
      </c>
      <c r="J272" s="62" t="s">
        <v>128</v>
      </c>
      <c r="K272" s="62" t="s">
        <v>129</v>
      </c>
      <c r="L272" s="72"/>
      <c r="M272" s="73"/>
      <c r="N272" s="52" t="b">
        <f t="shared" si="28"/>
        <v>0</v>
      </c>
      <c r="O272" s="52" t="b">
        <f t="shared" si="29"/>
        <v>0</v>
      </c>
      <c r="P272" s="52" t="b">
        <f t="shared" si="30"/>
        <v>0</v>
      </c>
      <c r="Q272" s="52" t="b">
        <f t="shared" si="31"/>
        <v>0</v>
      </c>
      <c r="R272" s="52" t="b">
        <f t="shared" si="32"/>
        <v>0</v>
      </c>
      <c r="S272" s="52" t="b">
        <f t="shared" si="33"/>
        <v>0</v>
      </c>
      <c r="T272" s="52" t="b">
        <f t="shared" si="34"/>
        <v>0</v>
      </c>
    </row>
    <row r="273" spans="3:20" x14ac:dyDescent="0.2">
      <c r="C273" s="36" t="s">
        <v>52</v>
      </c>
      <c r="D273" s="46" t="s">
        <v>455</v>
      </c>
      <c r="E273" s="47" t="s">
        <v>450</v>
      </c>
      <c r="F273" s="47"/>
      <c r="G273" s="47"/>
      <c r="H273" s="47"/>
      <c r="I273" s="47"/>
      <c r="J273" s="47"/>
      <c r="K273" s="47"/>
      <c r="L273" s="48"/>
      <c r="M273" s="48"/>
      <c r="N273" s="52" t="str">
        <f t="shared" si="28"/>
        <v>23.4.3.</v>
      </c>
      <c r="O273" s="52" t="str">
        <f t="shared" si="29"/>
        <v>44.2 / 44.3</v>
      </c>
      <c r="P273" s="52" t="str">
        <f t="shared" si="30"/>
        <v>Расходы на реализацию в торговле / Управленческие расходы в торговле</v>
      </c>
      <c r="Q273" s="52">
        <f t="shared" si="31"/>
        <v>211</v>
      </c>
      <c r="R273" s="52" t="str">
        <f t="shared" si="32"/>
        <v>Спецодежда</v>
      </c>
      <c r="S273" s="52" t="str">
        <f t="shared" si="33"/>
        <v>Элементы затрат</v>
      </c>
      <c r="T273" s="52" t="str">
        <f t="shared" si="34"/>
        <v>Спецодежда</v>
      </c>
    </row>
    <row r="274" spans="3:20" ht="22.5" x14ac:dyDescent="0.2">
      <c r="C274" s="36" t="s">
        <v>1087</v>
      </c>
      <c r="D274" s="61" t="s">
        <v>125</v>
      </c>
      <c r="E274" s="61"/>
      <c r="F274" s="62" t="s">
        <v>126</v>
      </c>
      <c r="G274" s="62">
        <v>211</v>
      </c>
      <c r="H274" s="62" t="s">
        <v>450</v>
      </c>
      <c r="I274" s="62" t="s">
        <v>127</v>
      </c>
      <c r="J274" s="62" t="s">
        <v>128</v>
      </c>
      <c r="K274" s="62" t="s">
        <v>129</v>
      </c>
      <c r="L274" s="72"/>
      <c r="M274" s="73"/>
      <c r="N274" s="52" t="b">
        <f t="shared" si="28"/>
        <v>0</v>
      </c>
      <c r="O274" s="52" t="b">
        <f t="shared" si="29"/>
        <v>0</v>
      </c>
      <c r="P274" s="52" t="b">
        <f t="shared" si="30"/>
        <v>0</v>
      </c>
      <c r="Q274" s="52" t="b">
        <f t="shared" si="31"/>
        <v>0</v>
      </c>
      <c r="R274" s="52" t="b">
        <f t="shared" si="32"/>
        <v>0</v>
      </c>
      <c r="S274" s="52" t="b">
        <f t="shared" si="33"/>
        <v>0</v>
      </c>
      <c r="T274" s="52" t="b">
        <f t="shared" si="34"/>
        <v>0</v>
      </c>
    </row>
    <row r="275" spans="3:20" ht="33.75" x14ac:dyDescent="0.2">
      <c r="C275" s="36" t="s">
        <v>52</v>
      </c>
      <c r="D275" s="46" t="s">
        <v>456</v>
      </c>
      <c r="E275" s="47" t="s">
        <v>457</v>
      </c>
      <c r="F275" s="47"/>
      <c r="G275" s="47"/>
      <c r="H275" s="47"/>
      <c r="I275" s="47"/>
      <c r="J275" s="47"/>
      <c r="K275" s="47"/>
      <c r="L275" s="48"/>
      <c r="M275" s="48"/>
      <c r="N275" s="52" t="str">
        <f t="shared" si="28"/>
        <v>23.4.4.</v>
      </c>
      <c r="O275" s="52" t="str">
        <f t="shared" si="29"/>
        <v>90.10.1 / 90.10.11</v>
      </c>
      <c r="P275" s="52" t="str">
        <f t="shared" si="30"/>
        <v>Прочие расходы по текущей деятельности / -||- (по местам хранения)</v>
      </c>
      <c r="Q275" s="52">
        <f t="shared" si="31"/>
        <v>131</v>
      </c>
      <c r="R275" s="52" t="str">
        <f t="shared" si="32"/>
        <v>Восстан. вычет НДС при порче, утрате запасов (за исключ. товаров)</v>
      </c>
      <c r="S275" s="52" t="str">
        <f t="shared" si="33"/>
        <v>Виды прочих расходов</v>
      </c>
      <c r="T275" s="52" t="str">
        <f t="shared" si="34"/>
        <v>Восстан. вычет НДС при порче, утрате запасов (за исключ. товаров)</v>
      </c>
    </row>
    <row r="276" spans="3:20" ht="33.75" x14ac:dyDescent="0.2">
      <c r="C276" s="36" t="s">
        <v>1087</v>
      </c>
      <c r="D276" s="62" t="s">
        <v>132</v>
      </c>
      <c r="E276" s="62"/>
      <c r="F276" s="62" t="s">
        <v>133</v>
      </c>
      <c r="G276" s="62">
        <v>131</v>
      </c>
      <c r="H276" s="62" t="s">
        <v>457</v>
      </c>
      <c r="I276" s="62" t="s">
        <v>134</v>
      </c>
      <c r="J276" s="62" t="s">
        <v>135</v>
      </c>
      <c r="K276" s="62" t="s">
        <v>129</v>
      </c>
      <c r="L276" s="72"/>
      <c r="M276" s="73"/>
      <c r="N276" s="52" t="b">
        <f t="shared" si="28"/>
        <v>0</v>
      </c>
      <c r="O276" s="52" t="b">
        <f t="shared" si="29"/>
        <v>0</v>
      </c>
      <c r="P276" s="52" t="b">
        <f t="shared" si="30"/>
        <v>0</v>
      </c>
      <c r="Q276" s="52" t="b">
        <f t="shared" si="31"/>
        <v>0</v>
      </c>
      <c r="R276" s="52" t="b">
        <f t="shared" si="32"/>
        <v>0</v>
      </c>
      <c r="S276" s="52" t="b">
        <f t="shared" si="33"/>
        <v>0</v>
      </c>
      <c r="T276" s="52" t="b">
        <f t="shared" si="34"/>
        <v>0</v>
      </c>
    </row>
    <row r="277" spans="3:20" x14ac:dyDescent="0.2">
      <c r="C277" s="36" t="s">
        <v>52</v>
      </c>
      <c r="D277" s="46" t="s">
        <v>458</v>
      </c>
      <c r="E277" s="47" t="s">
        <v>262</v>
      </c>
      <c r="F277" s="47" t="s">
        <v>71</v>
      </c>
      <c r="G277" s="47"/>
      <c r="H277" s="47"/>
      <c r="I277" s="47"/>
      <c r="J277" s="47"/>
      <c r="K277" s="47"/>
      <c r="L277" s="48"/>
      <c r="M277" s="48"/>
      <c r="N277" s="52" t="b">
        <f t="shared" si="28"/>
        <v>0</v>
      </c>
      <c r="O277" s="52" t="b">
        <f t="shared" si="29"/>
        <v>0</v>
      </c>
      <c r="P277" s="52" t="b">
        <f t="shared" si="30"/>
        <v>0</v>
      </c>
      <c r="Q277" s="52" t="b">
        <f t="shared" si="31"/>
        <v>0</v>
      </c>
      <c r="R277" s="52" t="b">
        <f t="shared" si="32"/>
        <v>0</v>
      </c>
      <c r="S277" s="52" t="b">
        <f t="shared" si="33"/>
        <v>0</v>
      </c>
      <c r="T277" s="52" t="b">
        <f t="shared" si="34"/>
        <v>0</v>
      </c>
    </row>
    <row r="278" spans="3:20" x14ac:dyDescent="0.2">
      <c r="C278" s="36" t="s">
        <v>52</v>
      </c>
      <c r="D278" s="46" t="s">
        <v>459</v>
      </c>
      <c r="E278" s="47" t="s">
        <v>460</v>
      </c>
      <c r="F278" s="47"/>
      <c r="G278" s="47"/>
      <c r="H278" s="47"/>
      <c r="I278" s="47"/>
      <c r="J278" s="47"/>
      <c r="K278" s="47"/>
      <c r="L278" s="48"/>
      <c r="M278" s="48"/>
      <c r="N278" s="52" t="str">
        <f t="shared" si="28"/>
        <v>23.5.1.</v>
      </c>
      <c r="O278" s="52" t="str">
        <f t="shared" si="29"/>
        <v>44.2 / 44.3</v>
      </c>
      <c r="P278" s="52" t="str">
        <f t="shared" si="30"/>
        <v>Расходы на реализацию в торговле / Управленческие расходы в торговле</v>
      </c>
      <c r="Q278" s="52">
        <f t="shared" si="31"/>
        <v>209</v>
      </c>
      <c r="R278" s="52" t="str">
        <f t="shared" si="32"/>
        <v>Прочие материалы</v>
      </c>
      <c r="S278" s="52" t="str">
        <f t="shared" si="33"/>
        <v>Элементы затрат</v>
      </c>
      <c r="T278" s="52" t="str">
        <f t="shared" si="34"/>
        <v>Прочие материалы</v>
      </c>
    </row>
    <row r="279" spans="3:20" ht="22.5" x14ac:dyDescent="0.2">
      <c r="C279" s="36" t="s">
        <v>1087</v>
      </c>
      <c r="D279" s="61" t="s">
        <v>125</v>
      </c>
      <c r="E279" s="61"/>
      <c r="F279" s="62" t="s">
        <v>126</v>
      </c>
      <c r="G279" s="62">
        <v>209</v>
      </c>
      <c r="H279" s="62" t="s">
        <v>460</v>
      </c>
      <c r="I279" s="62" t="s">
        <v>127</v>
      </c>
      <c r="J279" s="62" t="s">
        <v>128</v>
      </c>
      <c r="K279" s="62" t="s">
        <v>129</v>
      </c>
      <c r="L279" s="72"/>
      <c r="M279" s="73"/>
      <c r="N279" s="52" t="b">
        <f t="shared" si="28"/>
        <v>0</v>
      </c>
      <c r="O279" s="52" t="b">
        <f t="shared" si="29"/>
        <v>0</v>
      </c>
      <c r="P279" s="52" t="b">
        <f t="shared" si="30"/>
        <v>0</v>
      </c>
      <c r="Q279" s="52" t="b">
        <f t="shared" si="31"/>
        <v>0</v>
      </c>
      <c r="R279" s="52" t="b">
        <f t="shared" si="32"/>
        <v>0</v>
      </c>
      <c r="S279" s="52" t="b">
        <f t="shared" si="33"/>
        <v>0</v>
      </c>
      <c r="T279" s="52" t="b">
        <f t="shared" si="34"/>
        <v>0</v>
      </c>
    </row>
    <row r="280" spans="3:20" x14ac:dyDescent="0.2">
      <c r="C280" s="36" t="s">
        <v>52</v>
      </c>
      <c r="D280" s="46" t="s">
        <v>461</v>
      </c>
      <c r="E280" s="47" t="s">
        <v>462</v>
      </c>
      <c r="F280" s="47" t="s">
        <v>71</v>
      </c>
      <c r="G280" s="47"/>
      <c r="H280" s="47"/>
      <c r="I280" s="47"/>
      <c r="J280" s="47"/>
      <c r="K280" s="47"/>
      <c r="L280" s="48"/>
      <c r="M280" s="48"/>
      <c r="N280" s="52" t="str">
        <f t="shared" si="28"/>
        <v>23.6.</v>
      </c>
      <c r="O280" s="52" t="str">
        <f t="shared" si="29"/>
        <v>44.2 / 44.3</v>
      </c>
      <c r="P280" s="52" t="str">
        <f t="shared" si="30"/>
        <v>Расходы на реализацию в торговле / Управленческие расходы в торговле</v>
      </c>
      <c r="Q280" s="52">
        <f t="shared" si="31"/>
        <v>213</v>
      </c>
      <c r="R280" s="52" t="str">
        <f t="shared" si="32"/>
        <v>Упаковочные материалы</v>
      </c>
      <c r="S280" s="52" t="str">
        <f t="shared" si="33"/>
        <v>Элементы затрат</v>
      </c>
      <c r="T280" s="52" t="str">
        <f t="shared" si="34"/>
        <v>Упаковочные материалы</v>
      </c>
    </row>
    <row r="281" spans="3:20" ht="22.5" x14ac:dyDescent="0.2">
      <c r="C281" s="36" t="s">
        <v>1087</v>
      </c>
      <c r="D281" s="61" t="s">
        <v>125</v>
      </c>
      <c r="E281" s="61"/>
      <c r="F281" s="62" t="s">
        <v>126</v>
      </c>
      <c r="G281" s="62">
        <v>213</v>
      </c>
      <c r="H281" s="62" t="s">
        <v>462</v>
      </c>
      <c r="I281" s="62" t="s">
        <v>127</v>
      </c>
      <c r="J281" s="62" t="s">
        <v>128</v>
      </c>
      <c r="K281" s="62" t="s">
        <v>129</v>
      </c>
      <c r="L281" s="72"/>
      <c r="M281" s="73"/>
      <c r="N281" s="52" t="b">
        <f t="shared" si="28"/>
        <v>0</v>
      </c>
      <c r="O281" s="52" t="b">
        <f t="shared" si="29"/>
        <v>0</v>
      </c>
      <c r="P281" s="52" t="b">
        <f t="shared" si="30"/>
        <v>0</v>
      </c>
      <c r="Q281" s="52" t="b">
        <f t="shared" si="31"/>
        <v>0</v>
      </c>
      <c r="R281" s="52" t="b">
        <f t="shared" si="32"/>
        <v>0</v>
      </c>
      <c r="S281" s="52" t="b">
        <f t="shared" si="33"/>
        <v>0</v>
      </c>
      <c r="T281" s="52" t="b">
        <f t="shared" si="34"/>
        <v>0</v>
      </c>
    </row>
    <row r="282" spans="3:20" ht="22.5" hidden="1" x14ac:dyDescent="0.2">
      <c r="C282" s="35"/>
      <c r="D282" s="35" t="s">
        <v>98</v>
      </c>
      <c r="E282" s="35" t="s">
        <v>99</v>
      </c>
      <c r="F282" s="35" t="s">
        <v>100</v>
      </c>
      <c r="G282" s="35" t="s">
        <v>101</v>
      </c>
      <c r="H282" s="35" t="s">
        <v>102</v>
      </c>
      <c r="I282" s="35" t="s">
        <v>103</v>
      </c>
      <c r="J282" s="35" t="s">
        <v>104</v>
      </c>
      <c r="K282" s="35" t="s">
        <v>105</v>
      </c>
      <c r="L282" s="35" t="s">
        <v>106</v>
      </c>
      <c r="M282" s="35" t="s">
        <v>107</v>
      </c>
      <c r="N282" s="52" t="b">
        <f t="shared" si="28"/>
        <v>0</v>
      </c>
      <c r="O282" s="52" t="b">
        <f t="shared" si="29"/>
        <v>0</v>
      </c>
      <c r="P282" s="52" t="b">
        <f t="shared" si="30"/>
        <v>0</v>
      </c>
      <c r="Q282" s="52" t="b">
        <f t="shared" si="31"/>
        <v>0</v>
      </c>
      <c r="R282" s="52" t="b">
        <f t="shared" si="32"/>
        <v>0</v>
      </c>
      <c r="S282" s="52" t="b">
        <f t="shared" si="33"/>
        <v>0</v>
      </c>
      <c r="T282" s="52" t="b">
        <f t="shared" si="34"/>
        <v>0</v>
      </c>
    </row>
    <row r="283" spans="3:20" ht="33.75" x14ac:dyDescent="0.2">
      <c r="C283" s="36" t="s">
        <v>52</v>
      </c>
      <c r="D283" s="37">
        <v>24</v>
      </c>
      <c r="E283" s="38" t="s">
        <v>463</v>
      </c>
      <c r="F283" s="38" t="s">
        <v>67</v>
      </c>
      <c r="G283" s="38"/>
      <c r="H283" s="38"/>
      <c r="I283" s="38"/>
      <c r="J283" s="38"/>
      <c r="K283" s="38"/>
      <c r="L283" s="39"/>
      <c r="M283" s="39" t="s">
        <v>464</v>
      </c>
      <c r="N283" s="52" t="b">
        <f t="shared" si="28"/>
        <v>0</v>
      </c>
      <c r="O283" s="52" t="b">
        <f t="shared" si="29"/>
        <v>0</v>
      </c>
      <c r="P283" s="52" t="b">
        <f t="shared" si="30"/>
        <v>0</v>
      </c>
      <c r="Q283" s="52" t="b">
        <f t="shared" si="31"/>
        <v>0</v>
      </c>
      <c r="R283" s="52" t="b">
        <f t="shared" si="32"/>
        <v>0</v>
      </c>
      <c r="S283" s="52" t="b">
        <f t="shared" si="33"/>
        <v>0</v>
      </c>
      <c r="T283" s="52" t="b">
        <f t="shared" si="34"/>
        <v>0</v>
      </c>
    </row>
    <row r="284" spans="3:20" x14ac:dyDescent="0.2">
      <c r="C284" s="36" t="s">
        <v>52</v>
      </c>
      <c r="D284" s="46" t="s">
        <v>459</v>
      </c>
      <c r="E284" s="47" t="s">
        <v>465</v>
      </c>
      <c r="F284" s="47"/>
      <c r="G284" s="47"/>
      <c r="H284" s="47"/>
      <c r="I284" s="47"/>
      <c r="J284" s="47"/>
      <c r="K284" s="47"/>
      <c r="L284" s="48"/>
      <c r="M284" s="48"/>
      <c r="N284" s="52" t="str">
        <f t="shared" si="28"/>
        <v>23.5.1.</v>
      </c>
      <c r="O284" s="52" t="str">
        <f t="shared" si="29"/>
        <v>90.10.11</v>
      </c>
      <c r="P284" s="52" t="str">
        <f t="shared" si="30"/>
        <v>Прочие расходы по текущей деятельности (по местам хранения)</v>
      </c>
      <c r="Q284" s="52">
        <f t="shared" si="31"/>
        <v>36</v>
      </c>
      <c r="R284" s="52" t="str">
        <f t="shared" si="32"/>
        <v>Представительские расходы</v>
      </c>
      <c r="S284" s="52" t="str">
        <f t="shared" si="33"/>
        <v>Виды прочих расходов</v>
      </c>
      <c r="T284" s="52" t="str">
        <f t="shared" si="34"/>
        <v>Представительские расходы</v>
      </c>
    </row>
    <row r="285" spans="3:20" ht="22.5" x14ac:dyDescent="0.2">
      <c r="C285" s="36" t="s">
        <v>1087</v>
      </c>
      <c r="D285" s="62" t="s">
        <v>466</v>
      </c>
      <c r="E285" s="62"/>
      <c r="F285" s="62" t="s">
        <v>467</v>
      </c>
      <c r="G285" s="62">
        <v>36</v>
      </c>
      <c r="H285" s="62" t="s">
        <v>465</v>
      </c>
      <c r="I285" s="62" t="s">
        <v>134</v>
      </c>
      <c r="J285" s="62" t="s">
        <v>135</v>
      </c>
      <c r="K285" s="62" t="s">
        <v>129</v>
      </c>
      <c r="L285" s="72"/>
      <c r="M285" s="73"/>
      <c r="N285" s="52" t="b">
        <f t="shared" si="28"/>
        <v>0</v>
      </c>
      <c r="O285" s="52" t="b">
        <f t="shared" si="29"/>
        <v>0</v>
      </c>
      <c r="P285" s="52" t="b">
        <f t="shared" si="30"/>
        <v>0</v>
      </c>
      <c r="Q285" s="52" t="b">
        <f t="shared" si="31"/>
        <v>0</v>
      </c>
      <c r="R285" s="52" t="b">
        <f t="shared" si="32"/>
        <v>0</v>
      </c>
      <c r="S285" s="52" t="b">
        <f t="shared" si="33"/>
        <v>0</v>
      </c>
      <c r="T285" s="52" t="b">
        <f t="shared" si="34"/>
        <v>0</v>
      </c>
    </row>
    <row r="286" spans="3:20" x14ac:dyDescent="0.2">
      <c r="C286" s="36" t="s">
        <v>52</v>
      </c>
      <c r="D286" s="46" t="s">
        <v>459</v>
      </c>
      <c r="E286" s="47" t="s">
        <v>465</v>
      </c>
      <c r="F286" s="47"/>
      <c r="G286" s="47"/>
      <c r="H286" s="47"/>
      <c r="I286" s="47"/>
      <c r="J286" s="47"/>
      <c r="K286" s="47"/>
      <c r="L286" s="48"/>
      <c r="M286" s="48"/>
      <c r="N286" s="52" t="str">
        <f t="shared" si="28"/>
        <v>23.5.1.</v>
      </c>
      <c r="O286" s="52" t="str">
        <f t="shared" si="29"/>
        <v>44.3</v>
      </c>
      <c r="P286" s="52" t="str">
        <f t="shared" si="30"/>
        <v>Управленческие расходы в торговле</v>
      </c>
      <c r="Q286" s="52">
        <f t="shared" si="31"/>
        <v>253</v>
      </c>
      <c r="R286" s="52" t="str">
        <f t="shared" si="32"/>
        <v>Представительские расходы</v>
      </c>
      <c r="S286" s="52" t="str">
        <f t="shared" si="33"/>
        <v>Элементы затрат</v>
      </c>
      <c r="T286" s="52" t="str">
        <f t="shared" si="34"/>
        <v>Представительские расходы</v>
      </c>
    </row>
    <row r="287" spans="3:20" ht="22.5" x14ac:dyDescent="0.2">
      <c r="C287" s="36" t="s">
        <v>1087</v>
      </c>
      <c r="D287" s="62" t="s">
        <v>468</v>
      </c>
      <c r="E287" s="62"/>
      <c r="F287" s="62" t="s">
        <v>469</v>
      </c>
      <c r="G287" s="62">
        <v>253</v>
      </c>
      <c r="H287" s="62" t="s">
        <v>465</v>
      </c>
      <c r="I287" s="62" t="s">
        <v>127</v>
      </c>
      <c r="J287" s="62" t="s">
        <v>128</v>
      </c>
      <c r="K287" s="62" t="s">
        <v>129</v>
      </c>
      <c r="L287" s="72"/>
      <c r="M287" s="73"/>
      <c r="N287" s="52" t="b">
        <f t="shared" si="28"/>
        <v>0</v>
      </c>
      <c r="O287" s="52" t="b">
        <f t="shared" si="29"/>
        <v>0</v>
      </c>
      <c r="P287" s="52" t="b">
        <f t="shared" si="30"/>
        <v>0</v>
      </c>
      <c r="Q287" s="52" t="b">
        <f t="shared" si="31"/>
        <v>0</v>
      </c>
      <c r="R287" s="52" t="b">
        <f t="shared" si="32"/>
        <v>0</v>
      </c>
      <c r="S287" s="52" t="b">
        <f t="shared" si="33"/>
        <v>0</v>
      </c>
      <c r="T287" s="52" t="b">
        <f t="shared" si="34"/>
        <v>0</v>
      </c>
    </row>
    <row r="288" spans="3:20" ht="22.5" x14ac:dyDescent="0.2">
      <c r="C288" s="36" t="s">
        <v>52</v>
      </c>
      <c r="D288" s="74">
        <v>25</v>
      </c>
      <c r="E288" s="75" t="s">
        <v>470</v>
      </c>
      <c r="F288" s="75"/>
      <c r="G288" s="75"/>
      <c r="H288" s="75"/>
      <c r="I288" s="75"/>
      <c r="J288" s="75"/>
      <c r="K288" s="75"/>
      <c r="L288" s="75"/>
      <c r="M288" s="75" t="s">
        <v>11</v>
      </c>
      <c r="N288" s="52" t="b">
        <f t="shared" si="28"/>
        <v>0</v>
      </c>
      <c r="O288" s="52" t="b">
        <f t="shared" si="29"/>
        <v>0</v>
      </c>
      <c r="P288" s="52" t="b">
        <f t="shared" si="30"/>
        <v>0</v>
      </c>
      <c r="Q288" s="52" t="b">
        <f t="shared" si="31"/>
        <v>0</v>
      </c>
      <c r="R288" s="52" t="b">
        <f t="shared" si="32"/>
        <v>0</v>
      </c>
      <c r="S288" s="52" t="b">
        <f t="shared" si="33"/>
        <v>0</v>
      </c>
      <c r="T288" s="52" t="b">
        <f t="shared" si="34"/>
        <v>0</v>
      </c>
    </row>
    <row r="289" spans="3:20" ht="22.5" hidden="1" x14ac:dyDescent="0.2">
      <c r="C289" s="35"/>
      <c r="D289" s="35" t="s">
        <v>98</v>
      </c>
      <c r="E289" s="35" t="s">
        <v>99</v>
      </c>
      <c r="F289" s="35" t="s">
        <v>100</v>
      </c>
      <c r="G289" s="35" t="s">
        <v>101</v>
      </c>
      <c r="H289" s="35" t="s">
        <v>102</v>
      </c>
      <c r="I289" s="35" t="s">
        <v>103</v>
      </c>
      <c r="J289" s="35" t="s">
        <v>104</v>
      </c>
      <c r="K289" s="35" t="s">
        <v>105</v>
      </c>
      <c r="L289" s="35" t="s">
        <v>106</v>
      </c>
      <c r="M289" s="35" t="s">
        <v>107</v>
      </c>
      <c r="N289" s="52" t="b">
        <f t="shared" si="28"/>
        <v>0</v>
      </c>
      <c r="O289" s="52" t="b">
        <f t="shared" si="29"/>
        <v>0</v>
      </c>
      <c r="P289" s="52" t="b">
        <f t="shared" si="30"/>
        <v>0</v>
      </c>
      <c r="Q289" s="52" t="b">
        <f t="shared" si="31"/>
        <v>0</v>
      </c>
      <c r="R289" s="52" t="b">
        <f t="shared" si="32"/>
        <v>0</v>
      </c>
      <c r="S289" s="52" t="b">
        <f t="shared" si="33"/>
        <v>0</v>
      </c>
      <c r="T289" s="52" t="b">
        <f t="shared" si="34"/>
        <v>0</v>
      </c>
    </row>
    <row r="290" spans="3:20" x14ac:dyDescent="0.2">
      <c r="C290" s="36" t="s">
        <v>52</v>
      </c>
      <c r="D290" s="37">
        <v>26</v>
      </c>
      <c r="E290" s="38" t="s">
        <v>471</v>
      </c>
      <c r="F290" s="38"/>
      <c r="G290" s="38"/>
      <c r="H290" s="38"/>
      <c r="I290" s="38"/>
      <c r="J290" s="38"/>
      <c r="K290" s="38"/>
      <c r="L290" s="39"/>
      <c r="M290" s="39"/>
      <c r="N290" s="52" t="b">
        <f t="shared" si="28"/>
        <v>0</v>
      </c>
      <c r="O290" s="52" t="b">
        <f t="shared" si="29"/>
        <v>0</v>
      </c>
      <c r="P290" s="52" t="b">
        <f t="shared" si="30"/>
        <v>0</v>
      </c>
      <c r="Q290" s="52" t="b">
        <f t="shared" si="31"/>
        <v>0</v>
      </c>
      <c r="R290" s="52" t="b">
        <f t="shared" si="32"/>
        <v>0</v>
      </c>
      <c r="S290" s="52" t="b">
        <f t="shared" si="33"/>
        <v>0</v>
      </c>
      <c r="T290" s="52" t="b">
        <f t="shared" si="34"/>
        <v>0</v>
      </c>
    </row>
    <row r="291" spans="3:20" x14ac:dyDescent="0.2">
      <c r="C291" s="36" t="s">
        <v>52</v>
      </c>
      <c r="D291" s="46"/>
      <c r="E291" s="47" t="s">
        <v>19</v>
      </c>
      <c r="F291" s="47"/>
      <c r="G291" s="47"/>
      <c r="H291" s="47"/>
      <c r="I291" s="47"/>
      <c r="J291" s="47"/>
      <c r="K291" s="47"/>
      <c r="L291" s="48"/>
      <c r="M291" s="48" t="s">
        <v>472</v>
      </c>
      <c r="N291" s="52" t="b">
        <f t="shared" si="28"/>
        <v>0</v>
      </c>
      <c r="O291" s="52" t="b">
        <f t="shared" si="29"/>
        <v>0</v>
      </c>
      <c r="P291" s="52" t="b">
        <f t="shared" si="30"/>
        <v>0</v>
      </c>
      <c r="Q291" s="52" t="b">
        <f t="shared" si="31"/>
        <v>0</v>
      </c>
      <c r="R291" s="52" t="b">
        <f t="shared" si="32"/>
        <v>0</v>
      </c>
      <c r="S291" s="52" t="b">
        <f t="shared" si="33"/>
        <v>0</v>
      </c>
      <c r="T291" s="52" t="b">
        <f t="shared" si="34"/>
        <v>0</v>
      </c>
    </row>
    <row r="292" spans="3:20" x14ac:dyDescent="0.2">
      <c r="C292" s="36" t="s">
        <v>52</v>
      </c>
      <c r="D292" s="46"/>
      <c r="E292" s="47" t="s">
        <v>112</v>
      </c>
      <c r="F292" s="47"/>
      <c r="G292" s="47"/>
      <c r="H292" s="47"/>
      <c r="I292" s="47"/>
      <c r="J292" s="47"/>
      <c r="K292" s="47"/>
      <c r="L292" s="48"/>
      <c r="M292" s="48" t="s">
        <v>473</v>
      </c>
      <c r="N292" s="52" t="b">
        <f t="shared" si="28"/>
        <v>0</v>
      </c>
      <c r="O292" s="52" t="b">
        <f t="shared" si="29"/>
        <v>0</v>
      </c>
      <c r="P292" s="52" t="b">
        <f t="shared" si="30"/>
        <v>0</v>
      </c>
      <c r="Q292" s="52" t="b">
        <f t="shared" si="31"/>
        <v>0</v>
      </c>
      <c r="R292" s="52" t="b">
        <f t="shared" si="32"/>
        <v>0</v>
      </c>
      <c r="S292" s="52" t="b">
        <f t="shared" si="33"/>
        <v>0</v>
      </c>
      <c r="T292" s="52" t="b">
        <f t="shared" si="34"/>
        <v>0</v>
      </c>
    </row>
    <row r="293" spans="3:20" x14ac:dyDescent="0.2">
      <c r="C293" s="36" t="s">
        <v>52</v>
      </c>
      <c r="D293" s="46" t="s">
        <v>474</v>
      </c>
      <c r="E293" s="47" t="s">
        <v>475</v>
      </c>
      <c r="F293" s="47"/>
      <c r="G293" s="47"/>
      <c r="H293" s="47"/>
      <c r="I293" s="47"/>
      <c r="J293" s="47"/>
      <c r="K293" s="47"/>
      <c r="L293" s="48"/>
      <c r="M293" s="47" t="s">
        <v>476</v>
      </c>
      <c r="N293" s="52" t="str">
        <f t="shared" si="28"/>
        <v>26.1.</v>
      </c>
      <c r="O293" s="52" t="str">
        <f t="shared" si="29"/>
        <v>44.2 / 44.3</v>
      </c>
      <c r="P293" s="52" t="str">
        <f t="shared" si="30"/>
        <v>Расходы на реализацию в торговле / Управленческие расходы в торговле</v>
      </c>
      <c r="Q293" s="52">
        <f t="shared" si="31"/>
        <v>48</v>
      </c>
      <c r="R293" s="52" t="str">
        <f t="shared" si="32"/>
        <v>Водоснабжение\канализация</v>
      </c>
      <c r="S293" s="52" t="str">
        <f t="shared" si="33"/>
        <v>Элементы затрат</v>
      </c>
      <c r="T293" s="52" t="str">
        <f t="shared" si="34"/>
        <v>водоснабжение и канализация</v>
      </c>
    </row>
    <row r="294" spans="3:20" ht="22.5" x14ac:dyDescent="0.2">
      <c r="C294" s="36" t="s">
        <v>1087</v>
      </c>
      <c r="D294" s="61" t="s">
        <v>125</v>
      </c>
      <c r="E294" s="61"/>
      <c r="F294" s="62" t="s">
        <v>126</v>
      </c>
      <c r="G294" s="62">
        <v>48</v>
      </c>
      <c r="H294" s="62" t="s">
        <v>477</v>
      </c>
      <c r="I294" s="62" t="s">
        <v>127</v>
      </c>
      <c r="J294" s="62" t="s">
        <v>128</v>
      </c>
      <c r="K294" s="62" t="s">
        <v>129</v>
      </c>
      <c r="L294" s="72"/>
      <c r="M294" s="73"/>
      <c r="N294" s="52" t="b">
        <f t="shared" si="28"/>
        <v>0</v>
      </c>
      <c r="O294" s="52" t="b">
        <f t="shared" si="29"/>
        <v>0</v>
      </c>
      <c r="P294" s="52" t="b">
        <f t="shared" si="30"/>
        <v>0</v>
      </c>
      <c r="Q294" s="52" t="b">
        <f t="shared" si="31"/>
        <v>0</v>
      </c>
      <c r="R294" s="52" t="b">
        <f t="shared" si="32"/>
        <v>0</v>
      </c>
      <c r="S294" s="52" t="b">
        <f t="shared" si="33"/>
        <v>0</v>
      </c>
      <c r="T294" s="52" t="b">
        <f t="shared" si="34"/>
        <v>0</v>
      </c>
    </row>
    <row r="295" spans="3:20" x14ac:dyDescent="0.2">
      <c r="C295" s="36" t="s">
        <v>52</v>
      </c>
      <c r="D295" s="46" t="s">
        <v>478</v>
      </c>
      <c r="E295" s="47" t="s">
        <v>479</v>
      </c>
      <c r="F295" s="47"/>
      <c r="G295" s="47"/>
      <c r="H295" s="47"/>
      <c r="I295" s="47"/>
      <c r="J295" s="47"/>
      <c r="K295" s="47"/>
      <c r="L295" s="48"/>
      <c r="M295" s="47" t="s">
        <v>67</v>
      </c>
      <c r="N295" s="52" t="str">
        <f t="shared" si="28"/>
        <v>26.2.</v>
      </c>
      <c r="O295" s="52" t="str">
        <f t="shared" si="29"/>
        <v>44.2 / 44.3</v>
      </c>
      <c r="P295" s="52" t="str">
        <f t="shared" si="30"/>
        <v>Расходы на реализацию в торговле / Управленческие расходы в торговле</v>
      </c>
      <c r="Q295" s="52">
        <f t="shared" si="31"/>
        <v>49</v>
      </c>
      <c r="R295" s="52" t="str">
        <f t="shared" si="32"/>
        <v>Вывоз и обезвреживание ТБО</v>
      </c>
      <c r="S295" s="52" t="str">
        <f t="shared" si="33"/>
        <v>Элементы затрат</v>
      </c>
      <c r="T295" s="52" t="str">
        <f t="shared" si="34"/>
        <v>вывоз мусора</v>
      </c>
    </row>
    <row r="296" spans="3:20" ht="22.5" x14ac:dyDescent="0.2">
      <c r="C296" s="36" t="s">
        <v>1087</v>
      </c>
      <c r="D296" s="61" t="s">
        <v>125</v>
      </c>
      <c r="E296" s="61"/>
      <c r="F296" s="62" t="s">
        <v>126</v>
      </c>
      <c r="G296" s="62">
        <v>49</v>
      </c>
      <c r="H296" s="62" t="s">
        <v>480</v>
      </c>
      <c r="I296" s="62" t="s">
        <v>127</v>
      </c>
      <c r="J296" s="62" t="s">
        <v>128</v>
      </c>
      <c r="K296" s="62" t="s">
        <v>129</v>
      </c>
      <c r="L296" s="72"/>
      <c r="M296" s="73"/>
      <c r="N296" s="52" t="b">
        <f t="shared" si="28"/>
        <v>0</v>
      </c>
      <c r="O296" s="52" t="b">
        <f t="shared" si="29"/>
        <v>0</v>
      </c>
      <c r="P296" s="52" t="b">
        <f t="shared" si="30"/>
        <v>0</v>
      </c>
      <c r="Q296" s="52" t="b">
        <f t="shared" si="31"/>
        <v>0</v>
      </c>
      <c r="R296" s="52" t="b">
        <f t="shared" si="32"/>
        <v>0</v>
      </c>
      <c r="S296" s="52" t="b">
        <f t="shared" si="33"/>
        <v>0</v>
      </c>
      <c r="T296" s="52" t="b">
        <f t="shared" si="34"/>
        <v>0</v>
      </c>
    </row>
    <row r="297" spans="3:20" x14ac:dyDescent="0.2">
      <c r="C297" s="36" t="s">
        <v>52</v>
      </c>
      <c r="D297" s="40" t="s">
        <v>481</v>
      </c>
      <c r="E297" s="41" t="s">
        <v>482</v>
      </c>
      <c r="F297" s="42"/>
      <c r="G297" s="41"/>
      <c r="H297" s="41"/>
      <c r="I297" s="41"/>
      <c r="J297" s="41"/>
      <c r="K297" s="41"/>
      <c r="L297" s="42"/>
      <c r="M297" s="42" t="s">
        <v>11</v>
      </c>
      <c r="N297" s="52" t="b">
        <f t="shared" si="28"/>
        <v>0</v>
      </c>
      <c r="O297" s="52" t="b">
        <f t="shared" si="29"/>
        <v>0</v>
      </c>
      <c r="P297" s="52" t="b">
        <f t="shared" si="30"/>
        <v>0</v>
      </c>
      <c r="Q297" s="52" t="b">
        <f t="shared" si="31"/>
        <v>0</v>
      </c>
      <c r="R297" s="52" t="b">
        <f t="shared" si="32"/>
        <v>0</v>
      </c>
      <c r="S297" s="52" t="b">
        <f t="shared" si="33"/>
        <v>0</v>
      </c>
      <c r="T297" s="52" t="b">
        <f t="shared" si="34"/>
        <v>0</v>
      </c>
    </row>
    <row r="298" spans="3:20" x14ac:dyDescent="0.2">
      <c r="C298" s="36" t="s">
        <v>52</v>
      </c>
      <c r="D298" s="40" t="s">
        <v>483</v>
      </c>
      <c r="E298" s="41" t="s">
        <v>95</v>
      </c>
      <c r="F298" s="42"/>
      <c r="G298" s="41"/>
      <c r="H298" s="41"/>
      <c r="I298" s="41"/>
      <c r="J298" s="41"/>
      <c r="K298" s="41"/>
      <c r="L298" s="42"/>
      <c r="M298" s="42" t="s">
        <v>11</v>
      </c>
      <c r="N298" s="52" t="b">
        <f t="shared" si="28"/>
        <v>0</v>
      </c>
      <c r="O298" s="52" t="b">
        <f t="shared" si="29"/>
        <v>0</v>
      </c>
      <c r="P298" s="52" t="b">
        <f t="shared" si="30"/>
        <v>0</v>
      </c>
      <c r="Q298" s="52" t="b">
        <f t="shared" si="31"/>
        <v>0</v>
      </c>
      <c r="R298" s="52" t="b">
        <f t="shared" si="32"/>
        <v>0</v>
      </c>
      <c r="S298" s="52" t="b">
        <f t="shared" si="33"/>
        <v>0</v>
      </c>
      <c r="T298" s="52" t="b">
        <f t="shared" si="34"/>
        <v>0</v>
      </c>
    </row>
    <row r="299" spans="3:20" ht="22.5" hidden="1" x14ac:dyDescent="0.2">
      <c r="C299" s="35"/>
      <c r="D299" s="35" t="s">
        <v>98</v>
      </c>
      <c r="E299" s="35" t="s">
        <v>99</v>
      </c>
      <c r="F299" s="35" t="s">
        <v>100</v>
      </c>
      <c r="G299" s="35" t="s">
        <v>101</v>
      </c>
      <c r="H299" s="35" t="s">
        <v>102</v>
      </c>
      <c r="I299" s="35" t="s">
        <v>103</v>
      </c>
      <c r="J299" s="35" t="s">
        <v>104</v>
      </c>
      <c r="K299" s="35" t="s">
        <v>105</v>
      </c>
      <c r="L299" s="35" t="s">
        <v>106</v>
      </c>
      <c r="M299" s="35" t="s">
        <v>107</v>
      </c>
      <c r="N299" s="52" t="b">
        <f t="shared" si="28"/>
        <v>0</v>
      </c>
      <c r="O299" s="52" t="b">
        <f t="shared" si="29"/>
        <v>0</v>
      </c>
      <c r="P299" s="52" t="b">
        <f t="shared" si="30"/>
        <v>0</v>
      </c>
      <c r="Q299" s="52" t="b">
        <f t="shared" si="31"/>
        <v>0</v>
      </c>
      <c r="R299" s="52" t="b">
        <f t="shared" si="32"/>
        <v>0</v>
      </c>
      <c r="S299" s="52" t="b">
        <f t="shared" si="33"/>
        <v>0</v>
      </c>
      <c r="T299" s="52" t="b">
        <f t="shared" si="34"/>
        <v>0</v>
      </c>
    </row>
    <row r="300" spans="3:20" x14ac:dyDescent="0.2">
      <c r="C300" s="36" t="s">
        <v>52</v>
      </c>
      <c r="D300" s="37">
        <v>28</v>
      </c>
      <c r="E300" s="38" t="s">
        <v>484</v>
      </c>
      <c r="F300" s="38"/>
      <c r="G300" s="38"/>
      <c r="H300" s="38"/>
      <c r="I300" s="38"/>
      <c r="J300" s="38"/>
      <c r="K300" s="38"/>
      <c r="L300" s="39"/>
      <c r="M300" s="39"/>
      <c r="N300" s="52" t="b">
        <f t="shared" si="28"/>
        <v>0</v>
      </c>
      <c r="O300" s="52" t="b">
        <f t="shared" si="29"/>
        <v>0</v>
      </c>
      <c r="P300" s="52" t="b">
        <f t="shared" si="30"/>
        <v>0</v>
      </c>
      <c r="Q300" s="52" t="b">
        <f t="shared" si="31"/>
        <v>0</v>
      </c>
      <c r="R300" s="52" t="b">
        <f t="shared" si="32"/>
        <v>0</v>
      </c>
      <c r="S300" s="52" t="b">
        <f t="shared" si="33"/>
        <v>0</v>
      </c>
      <c r="T300" s="52" t="b">
        <f t="shared" si="34"/>
        <v>0</v>
      </c>
    </row>
    <row r="301" spans="3:20" x14ac:dyDescent="0.2">
      <c r="C301" s="36" t="s">
        <v>52</v>
      </c>
      <c r="D301" s="46"/>
      <c r="E301" s="47" t="s">
        <v>19</v>
      </c>
      <c r="F301" s="47"/>
      <c r="G301" s="47"/>
      <c r="H301" s="47"/>
      <c r="I301" s="47"/>
      <c r="J301" s="47"/>
      <c r="K301" s="47"/>
      <c r="L301" s="48"/>
      <c r="M301" s="48" t="s">
        <v>485</v>
      </c>
      <c r="N301" s="52" t="b">
        <f t="shared" si="28"/>
        <v>0</v>
      </c>
      <c r="O301" s="52" t="b">
        <f t="shared" si="29"/>
        <v>0</v>
      </c>
      <c r="P301" s="52" t="b">
        <f t="shared" si="30"/>
        <v>0</v>
      </c>
      <c r="Q301" s="52" t="b">
        <f t="shared" si="31"/>
        <v>0</v>
      </c>
      <c r="R301" s="52" t="b">
        <f t="shared" si="32"/>
        <v>0</v>
      </c>
      <c r="S301" s="52" t="b">
        <f t="shared" si="33"/>
        <v>0</v>
      </c>
      <c r="T301" s="52" t="b">
        <f t="shared" si="34"/>
        <v>0</v>
      </c>
    </row>
    <row r="302" spans="3:20" x14ac:dyDescent="0.2">
      <c r="C302" s="36" t="s">
        <v>52</v>
      </c>
      <c r="D302" s="46"/>
      <c r="E302" s="47" t="s">
        <v>112</v>
      </c>
      <c r="F302" s="47"/>
      <c r="G302" s="47"/>
      <c r="H302" s="47"/>
      <c r="I302" s="47"/>
      <c r="J302" s="47"/>
      <c r="K302" s="47"/>
      <c r="L302" s="48"/>
      <c r="M302" s="48" t="s">
        <v>486</v>
      </c>
      <c r="N302" s="52" t="b">
        <f t="shared" si="28"/>
        <v>0</v>
      </c>
      <c r="O302" s="52" t="b">
        <f t="shared" si="29"/>
        <v>0</v>
      </c>
      <c r="P302" s="52" t="b">
        <f t="shared" si="30"/>
        <v>0</v>
      </c>
      <c r="Q302" s="52" t="b">
        <f t="shared" si="31"/>
        <v>0</v>
      </c>
      <c r="R302" s="52" t="b">
        <f t="shared" si="32"/>
        <v>0</v>
      </c>
      <c r="S302" s="52" t="b">
        <f t="shared" si="33"/>
        <v>0</v>
      </c>
      <c r="T302" s="52" t="b">
        <f t="shared" si="34"/>
        <v>0</v>
      </c>
    </row>
    <row r="303" spans="3:20" x14ac:dyDescent="0.2">
      <c r="C303" s="36" t="s">
        <v>52</v>
      </c>
      <c r="D303" s="46" t="s">
        <v>487</v>
      </c>
      <c r="E303" s="47" t="s">
        <v>488</v>
      </c>
      <c r="F303" s="47"/>
      <c r="G303" s="47"/>
      <c r="H303" s="47"/>
      <c r="I303" s="47"/>
      <c r="J303" s="47"/>
      <c r="K303" s="47"/>
      <c r="L303" s="48" t="s">
        <v>489</v>
      </c>
      <c r="M303" s="47" t="s">
        <v>71</v>
      </c>
      <c r="N303" s="52" t="b">
        <f t="shared" si="28"/>
        <v>0</v>
      </c>
      <c r="O303" s="52" t="b">
        <f t="shared" si="29"/>
        <v>0</v>
      </c>
      <c r="P303" s="52" t="b">
        <f t="shared" si="30"/>
        <v>0</v>
      </c>
      <c r="Q303" s="52" t="b">
        <f t="shared" si="31"/>
        <v>0</v>
      </c>
      <c r="R303" s="52" t="b">
        <f t="shared" si="32"/>
        <v>0</v>
      </c>
      <c r="S303" s="52" t="b">
        <f t="shared" si="33"/>
        <v>0</v>
      </c>
      <c r="T303" s="52" t="b">
        <f t="shared" si="34"/>
        <v>0</v>
      </c>
    </row>
    <row r="304" spans="3:20" ht="22.5" x14ac:dyDescent="0.2">
      <c r="C304" s="36" t="s">
        <v>52</v>
      </c>
      <c r="D304" s="46" t="s">
        <v>490</v>
      </c>
      <c r="E304" s="47" t="s">
        <v>491</v>
      </c>
      <c r="F304" s="47"/>
      <c r="G304" s="47"/>
      <c r="H304" s="47"/>
      <c r="I304" s="47"/>
      <c r="J304" s="47"/>
      <c r="K304" s="47"/>
      <c r="L304" s="48"/>
      <c r="M304" s="48"/>
      <c r="N304" s="52" t="str">
        <f t="shared" si="28"/>
        <v>28.1.2.</v>
      </c>
      <c r="O304" s="52" t="str">
        <f t="shared" si="29"/>
        <v>44.2 / 44.3</v>
      </c>
      <c r="P304" s="52" t="str">
        <f t="shared" si="30"/>
        <v>Расходы на реализацию в торговле / Управленческие расходы в торговле</v>
      </c>
      <c r="Q304" s="52">
        <f t="shared" si="31"/>
        <v>236</v>
      </c>
      <c r="R304" s="52" t="str">
        <f t="shared" si="32"/>
        <v>Комиссия по пластиковым карточкам</v>
      </c>
      <c r="S304" s="52" t="str">
        <f t="shared" si="33"/>
        <v>Элементы затрат</v>
      </c>
      <c r="T304" s="52" t="str">
        <f t="shared" si="34"/>
        <v>Комиссия по пластиковым карточкам</v>
      </c>
    </row>
    <row r="305" spans="3:20" ht="22.5" x14ac:dyDescent="0.2">
      <c r="C305" s="36" t="s">
        <v>1087</v>
      </c>
      <c r="D305" s="61" t="s">
        <v>125</v>
      </c>
      <c r="E305" s="61"/>
      <c r="F305" s="62" t="s">
        <v>126</v>
      </c>
      <c r="G305" s="62">
        <v>236</v>
      </c>
      <c r="H305" s="62" t="s">
        <v>491</v>
      </c>
      <c r="I305" s="62" t="s">
        <v>127</v>
      </c>
      <c r="J305" s="62" t="s">
        <v>128</v>
      </c>
      <c r="K305" s="62" t="s">
        <v>129</v>
      </c>
      <c r="L305" s="72"/>
      <c r="M305" s="73"/>
      <c r="N305" s="52" t="b">
        <f t="shared" si="28"/>
        <v>0</v>
      </c>
      <c r="O305" s="52" t="b">
        <f t="shared" si="29"/>
        <v>0</v>
      </c>
      <c r="P305" s="52" t="b">
        <f t="shared" si="30"/>
        <v>0</v>
      </c>
      <c r="Q305" s="52" t="b">
        <f t="shared" si="31"/>
        <v>0</v>
      </c>
      <c r="R305" s="52" t="b">
        <f t="shared" si="32"/>
        <v>0</v>
      </c>
      <c r="S305" s="52" t="b">
        <f t="shared" si="33"/>
        <v>0</v>
      </c>
      <c r="T305" s="52" t="b">
        <f t="shared" si="34"/>
        <v>0</v>
      </c>
    </row>
    <row r="306" spans="3:20" ht="22.5" x14ac:dyDescent="0.2">
      <c r="C306" s="36" t="s">
        <v>52</v>
      </c>
      <c r="D306" s="46" t="s">
        <v>492</v>
      </c>
      <c r="E306" s="47" t="s">
        <v>493</v>
      </c>
      <c r="F306" s="47"/>
      <c r="G306" s="47"/>
      <c r="H306" s="47"/>
      <c r="I306" s="47"/>
      <c r="J306" s="47"/>
      <c r="K306" s="47"/>
      <c r="L306" s="81" t="s">
        <v>494</v>
      </c>
      <c r="M306" s="48"/>
      <c r="N306" s="52" t="str">
        <f t="shared" si="28"/>
        <v>28.1.1.</v>
      </c>
      <c r="O306" s="52" t="str">
        <f t="shared" si="29"/>
        <v>44.2 / 44.3</v>
      </c>
      <c r="P306" s="52" t="str">
        <f t="shared" si="30"/>
        <v>Расходы на реализацию в торговле / Управленческие расходы в торговле</v>
      </c>
      <c r="Q306" s="52">
        <f t="shared" si="31"/>
        <v>584</v>
      </c>
      <c r="R306" s="52" t="str">
        <f t="shared" si="32"/>
        <v>Партнерские программы/Трейд-маркетинг</v>
      </c>
      <c r="S306" s="52" t="str">
        <f t="shared" si="33"/>
        <v>Элементы затрат</v>
      </c>
      <c r="T306" s="52" t="str">
        <f t="shared" si="34"/>
        <v>28.1.1. в т.ч. партнерские программы</v>
      </c>
    </row>
    <row r="307" spans="3:20" ht="22.5" x14ac:dyDescent="0.2">
      <c r="C307" s="36" t="s">
        <v>1087</v>
      </c>
      <c r="D307" s="61" t="s">
        <v>125</v>
      </c>
      <c r="E307" s="61"/>
      <c r="F307" s="62" t="s">
        <v>126</v>
      </c>
      <c r="G307" s="62">
        <v>584</v>
      </c>
      <c r="H307" s="62" t="s">
        <v>495</v>
      </c>
      <c r="I307" s="62" t="s">
        <v>127</v>
      </c>
      <c r="J307" s="62" t="s">
        <v>128</v>
      </c>
      <c r="K307" s="62" t="s">
        <v>129</v>
      </c>
      <c r="L307" s="72"/>
      <c r="M307" s="73"/>
      <c r="N307" s="52" t="b">
        <f t="shared" si="28"/>
        <v>0</v>
      </c>
      <c r="O307" s="52" t="b">
        <f t="shared" si="29"/>
        <v>0</v>
      </c>
      <c r="P307" s="52" t="b">
        <f t="shared" si="30"/>
        <v>0</v>
      </c>
      <c r="Q307" s="52" t="b">
        <f t="shared" si="31"/>
        <v>0</v>
      </c>
      <c r="R307" s="52" t="b">
        <f t="shared" si="32"/>
        <v>0</v>
      </c>
      <c r="S307" s="52" t="b">
        <f t="shared" si="33"/>
        <v>0</v>
      </c>
      <c r="T307" s="52" t="b">
        <f t="shared" si="34"/>
        <v>0</v>
      </c>
    </row>
    <row r="308" spans="3:20" ht="33.75" x14ac:dyDescent="0.2">
      <c r="C308" s="36" t="s">
        <v>1087</v>
      </c>
      <c r="D308" s="81"/>
      <c r="E308" s="81" t="s">
        <v>496</v>
      </c>
      <c r="F308" s="81"/>
      <c r="G308" s="81"/>
      <c r="H308" s="81"/>
      <c r="I308" s="81"/>
      <c r="J308" s="81"/>
      <c r="K308" s="81"/>
      <c r="L308" s="59"/>
      <c r="M308" s="88"/>
      <c r="N308" s="52" t="b">
        <f t="shared" si="28"/>
        <v>0</v>
      </c>
      <c r="O308" s="52" t="b">
        <f t="shared" si="29"/>
        <v>0</v>
      </c>
      <c r="P308" s="52" t="b">
        <f t="shared" si="30"/>
        <v>0</v>
      </c>
      <c r="Q308" s="52" t="b">
        <f t="shared" si="31"/>
        <v>0</v>
      </c>
      <c r="R308" s="52" t="b">
        <f t="shared" si="32"/>
        <v>0</v>
      </c>
      <c r="S308" s="52" t="b">
        <f t="shared" si="33"/>
        <v>0</v>
      </c>
      <c r="T308" s="52" t="b">
        <f t="shared" si="34"/>
        <v>0</v>
      </c>
    </row>
    <row r="309" spans="3:20" x14ac:dyDescent="0.2">
      <c r="C309" s="36" t="s">
        <v>52</v>
      </c>
      <c r="D309" s="46" t="s">
        <v>497</v>
      </c>
      <c r="E309" s="47" t="s">
        <v>498</v>
      </c>
      <c r="F309" s="47" t="s">
        <v>71</v>
      </c>
      <c r="G309" s="47"/>
      <c r="H309" s="47"/>
      <c r="I309" s="47"/>
      <c r="J309" s="47"/>
      <c r="K309" s="47"/>
      <c r="L309" s="48"/>
      <c r="M309" s="48"/>
      <c r="N309" s="52" t="str">
        <f t="shared" si="28"/>
        <v>28.2.</v>
      </c>
      <c r="O309" s="52" t="str">
        <f t="shared" si="29"/>
        <v>44.2 / 44.3</v>
      </c>
      <c r="P309" s="52" t="str">
        <f t="shared" si="30"/>
        <v>Расходы на реализацию в торговле / Управленческие расходы в торговле</v>
      </c>
      <c r="Q309" s="52">
        <f t="shared" si="31"/>
        <v>232</v>
      </c>
      <c r="R309" s="52" t="str">
        <f t="shared" si="32"/>
        <v>Инкассация</v>
      </c>
      <c r="S309" s="52" t="str">
        <f t="shared" si="33"/>
        <v>Элементы затрат</v>
      </c>
      <c r="T309" s="52" t="str">
        <f t="shared" si="34"/>
        <v xml:space="preserve">расходы на инкассацию </v>
      </c>
    </row>
    <row r="310" spans="3:20" ht="22.5" x14ac:dyDescent="0.2">
      <c r="C310" s="36" t="s">
        <v>1087</v>
      </c>
      <c r="D310" s="61" t="s">
        <v>125</v>
      </c>
      <c r="E310" s="61"/>
      <c r="F310" s="62" t="s">
        <v>126</v>
      </c>
      <c r="G310" s="62">
        <v>232</v>
      </c>
      <c r="H310" s="62" t="s">
        <v>499</v>
      </c>
      <c r="I310" s="62" t="s">
        <v>127</v>
      </c>
      <c r="J310" s="62" t="s">
        <v>128</v>
      </c>
      <c r="K310" s="62" t="s">
        <v>129</v>
      </c>
      <c r="L310" s="72"/>
      <c r="M310" s="73"/>
      <c r="N310" s="52" t="b">
        <f t="shared" si="28"/>
        <v>0</v>
      </c>
      <c r="O310" s="52" t="b">
        <f t="shared" si="29"/>
        <v>0</v>
      </c>
      <c r="P310" s="52" t="b">
        <f t="shared" si="30"/>
        <v>0</v>
      </c>
      <c r="Q310" s="52" t="b">
        <f t="shared" si="31"/>
        <v>0</v>
      </c>
      <c r="R310" s="52" t="b">
        <f t="shared" si="32"/>
        <v>0</v>
      </c>
      <c r="S310" s="52" t="b">
        <f t="shared" si="33"/>
        <v>0</v>
      </c>
      <c r="T310" s="52" t="b">
        <f t="shared" si="34"/>
        <v>0</v>
      </c>
    </row>
    <row r="311" spans="3:20" x14ac:dyDescent="0.2">
      <c r="C311" s="36" t="s">
        <v>52</v>
      </c>
      <c r="D311" s="46" t="s">
        <v>500</v>
      </c>
      <c r="E311" s="47" t="s">
        <v>501</v>
      </c>
      <c r="F311" s="81" t="s">
        <v>71</v>
      </c>
      <c r="G311" s="81"/>
      <c r="H311" s="81"/>
      <c r="I311" s="81"/>
      <c r="J311" s="81"/>
      <c r="K311" s="81"/>
      <c r="L311" s="48"/>
      <c r="M311" s="59" t="s">
        <v>502</v>
      </c>
      <c r="N311" s="52" t="str">
        <f t="shared" si="28"/>
        <v>28.3.</v>
      </c>
      <c r="O311" s="52" t="str">
        <f t="shared" si="29"/>
        <v>44.2 / 44.3</v>
      </c>
      <c r="P311" s="52" t="str">
        <f t="shared" si="30"/>
        <v>Расходы на реализацию в торговле / Управленческие расходы в торговле</v>
      </c>
      <c r="Q311" s="52">
        <f t="shared" si="31"/>
        <v>237</v>
      </c>
      <c r="R311" s="52" t="str">
        <f t="shared" si="32"/>
        <v>Комиссия по пластиковым карточкам рассрочки</v>
      </c>
      <c r="S311" s="52" t="str">
        <f t="shared" si="33"/>
        <v>Элементы затрат</v>
      </c>
      <c r="T311" s="52" t="str">
        <f t="shared" si="34"/>
        <v>комиссии по карточкам рассрочки</v>
      </c>
    </row>
    <row r="312" spans="3:20" ht="22.5" x14ac:dyDescent="0.2">
      <c r="C312" s="36" t="s">
        <v>1087</v>
      </c>
      <c r="D312" s="61" t="s">
        <v>125</v>
      </c>
      <c r="E312" s="61"/>
      <c r="F312" s="62" t="s">
        <v>126</v>
      </c>
      <c r="G312" s="62">
        <v>237</v>
      </c>
      <c r="H312" s="62" t="s">
        <v>503</v>
      </c>
      <c r="I312" s="62" t="s">
        <v>127</v>
      </c>
      <c r="J312" s="62" t="s">
        <v>128</v>
      </c>
      <c r="K312" s="62" t="s">
        <v>129</v>
      </c>
      <c r="L312" s="72"/>
      <c r="M312" s="73"/>
      <c r="N312" s="52" t="b">
        <f t="shared" si="28"/>
        <v>0</v>
      </c>
      <c r="O312" s="52" t="b">
        <f t="shared" si="29"/>
        <v>0</v>
      </c>
      <c r="P312" s="52" t="b">
        <f t="shared" si="30"/>
        <v>0</v>
      </c>
      <c r="Q312" s="52" t="b">
        <f t="shared" si="31"/>
        <v>0</v>
      </c>
      <c r="R312" s="52" t="b">
        <f t="shared" si="32"/>
        <v>0</v>
      </c>
      <c r="S312" s="52" t="b">
        <f t="shared" si="33"/>
        <v>0</v>
      </c>
      <c r="T312" s="52" t="b">
        <f t="shared" si="34"/>
        <v>0</v>
      </c>
    </row>
    <row r="313" spans="3:20" ht="22.5" x14ac:dyDescent="0.2">
      <c r="C313" s="36" t="s">
        <v>52</v>
      </c>
      <c r="D313" s="46" t="s">
        <v>504</v>
      </c>
      <c r="E313" s="47" t="s">
        <v>505</v>
      </c>
      <c r="F313" s="47" t="s">
        <v>67</v>
      </c>
      <c r="G313" s="47"/>
      <c r="H313" s="47"/>
      <c r="I313" s="47"/>
      <c r="J313" s="47"/>
      <c r="K313" s="47"/>
      <c r="L313" s="48"/>
      <c r="M313" s="48" t="s">
        <v>506</v>
      </c>
      <c r="N313" s="52" t="b">
        <f t="shared" si="28"/>
        <v>0</v>
      </c>
      <c r="O313" s="52" t="b">
        <f t="shared" si="29"/>
        <v>0</v>
      </c>
      <c r="P313" s="52" t="b">
        <f t="shared" si="30"/>
        <v>0</v>
      </c>
      <c r="Q313" s="52" t="b">
        <f t="shared" si="31"/>
        <v>0</v>
      </c>
      <c r="R313" s="52" t="b">
        <f t="shared" si="32"/>
        <v>0</v>
      </c>
      <c r="S313" s="52" t="b">
        <f t="shared" si="33"/>
        <v>0</v>
      </c>
      <c r="T313" s="52" t="b">
        <f t="shared" si="34"/>
        <v>0</v>
      </c>
    </row>
    <row r="314" spans="3:20" x14ac:dyDescent="0.2">
      <c r="C314" s="36" t="s">
        <v>52</v>
      </c>
      <c r="D314" s="46" t="s">
        <v>507</v>
      </c>
      <c r="E314" s="47" t="s">
        <v>508</v>
      </c>
      <c r="F314" s="47"/>
      <c r="G314" s="47"/>
      <c r="H314" s="47"/>
      <c r="I314" s="47"/>
      <c r="J314" s="47"/>
      <c r="K314" s="47"/>
      <c r="L314" s="48"/>
      <c r="M314" s="48"/>
      <c r="N314" s="52" t="str">
        <f t="shared" si="28"/>
        <v>28.4.1.</v>
      </c>
      <c r="O314" s="52" t="str">
        <f t="shared" si="29"/>
        <v>44.2 / 44.3</v>
      </c>
      <c r="P314" s="52" t="str">
        <f t="shared" si="30"/>
        <v>Расходы на реализацию в торговле / Управленческие расходы в торговле</v>
      </c>
      <c r="Q314" s="52">
        <f t="shared" si="31"/>
        <v>234</v>
      </c>
      <c r="R314" s="52" t="str">
        <f t="shared" si="32"/>
        <v>Комиссия банка</v>
      </c>
      <c r="S314" s="52" t="str">
        <f t="shared" si="33"/>
        <v>Элементы затрат</v>
      </c>
      <c r="T314" s="52" t="str">
        <f t="shared" si="34"/>
        <v>Комиссия банка</v>
      </c>
    </row>
    <row r="315" spans="3:20" ht="22.5" x14ac:dyDescent="0.2">
      <c r="C315" s="36" t="s">
        <v>1087</v>
      </c>
      <c r="D315" s="61" t="s">
        <v>125</v>
      </c>
      <c r="E315" s="61"/>
      <c r="F315" s="62" t="s">
        <v>126</v>
      </c>
      <c r="G315" s="62">
        <v>234</v>
      </c>
      <c r="H315" s="62" t="s">
        <v>508</v>
      </c>
      <c r="I315" s="62" t="s">
        <v>127</v>
      </c>
      <c r="J315" s="62" t="s">
        <v>128</v>
      </c>
      <c r="K315" s="62" t="s">
        <v>129</v>
      </c>
      <c r="L315" s="72"/>
      <c r="M315" s="73"/>
      <c r="N315" s="52" t="b">
        <f t="shared" si="28"/>
        <v>0</v>
      </c>
      <c r="O315" s="52" t="b">
        <f t="shared" si="29"/>
        <v>0</v>
      </c>
      <c r="P315" s="52" t="b">
        <f t="shared" si="30"/>
        <v>0</v>
      </c>
      <c r="Q315" s="52" t="b">
        <f t="shared" si="31"/>
        <v>0</v>
      </c>
      <c r="R315" s="52" t="b">
        <f t="shared" si="32"/>
        <v>0</v>
      </c>
      <c r="S315" s="52" t="b">
        <f t="shared" si="33"/>
        <v>0</v>
      </c>
      <c r="T315" s="52" t="b">
        <f t="shared" si="34"/>
        <v>0</v>
      </c>
    </row>
    <row r="316" spans="3:20" x14ac:dyDescent="0.2">
      <c r="C316" s="36" t="s">
        <v>52</v>
      </c>
      <c r="D316" s="46" t="s">
        <v>509</v>
      </c>
      <c r="E316" s="47" t="s">
        <v>510</v>
      </c>
      <c r="F316" s="47"/>
      <c r="G316" s="47"/>
      <c r="H316" s="47"/>
      <c r="I316" s="47"/>
      <c r="J316" s="47"/>
      <c r="K316" s="47"/>
      <c r="L316" s="48"/>
      <c r="M316" s="48"/>
      <c r="N316" s="52" t="str">
        <f t="shared" si="28"/>
        <v>28.4.2.</v>
      </c>
      <c r="O316" s="52" t="str">
        <f t="shared" si="29"/>
        <v>44.2 / 44.3</v>
      </c>
      <c r="P316" s="52" t="str">
        <f t="shared" si="30"/>
        <v>Расходы на реализацию в торговле / Управленческие расходы в торговле</v>
      </c>
      <c r="Q316" s="52">
        <f t="shared" si="31"/>
        <v>231</v>
      </c>
      <c r="R316" s="52" t="str">
        <f t="shared" si="32"/>
        <v>Аренда терминалов</v>
      </c>
      <c r="S316" s="52" t="str">
        <f t="shared" si="33"/>
        <v>Элементы затрат</v>
      </c>
      <c r="T316" s="52" t="str">
        <f t="shared" si="34"/>
        <v>Аренда терминалов</v>
      </c>
    </row>
    <row r="317" spans="3:20" ht="22.5" x14ac:dyDescent="0.2">
      <c r="C317" s="36" t="s">
        <v>1087</v>
      </c>
      <c r="D317" s="61" t="s">
        <v>125</v>
      </c>
      <c r="E317" s="61"/>
      <c r="F317" s="62" t="s">
        <v>126</v>
      </c>
      <c r="G317" s="62">
        <v>231</v>
      </c>
      <c r="H317" s="62" t="s">
        <v>510</v>
      </c>
      <c r="I317" s="62" t="s">
        <v>127</v>
      </c>
      <c r="J317" s="62" t="s">
        <v>128</v>
      </c>
      <c r="K317" s="62" t="s">
        <v>129</v>
      </c>
      <c r="L317" s="72"/>
      <c r="M317" s="73"/>
      <c r="N317" s="52" t="b">
        <f t="shared" si="28"/>
        <v>0</v>
      </c>
      <c r="O317" s="52" t="b">
        <f t="shared" si="29"/>
        <v>0</v>
      </c>
      <c r="P317" s="52" t="b">
        <f t="shared" si="30"/>
        <v>0</v>
      </c>
      <c r="Q317" s="52" t="b">
        <f t="shared" si="31"/>
        <v>0</v>
      </c>
      <c r="R317" s="52" t="b">
        <f t="shared" si="32"/>
        <v>0</v>
      </c>
      <c r="S317" s="52" t="b">
        <f t="shared" si="33"/>
        <v>0</v>
      </c>
      <c r="T317" s="52" t="b">
        <f t="shared" si="34"/>
        <v>0</v>
      </c>
    </row>
    <row r="318" spans="3:20" ht="22.5" hidden="1" x14ac:dyDescent="0.2">
      <c r="C318" s="35"/>
      <c r="D318" s="35" t="s">
        <v>98</v>
      </c>
      <c r="E318" s="35" t="s">
        <v>99</v>
      </c>
      <c r="F318" s="35" t="s">
        <v>100</v>
      </c>
      <c r="G318" s="35" t="s">
        <v>101</v>
      </c>
      <c r="H318" s="35" t="s">
        <v>102</v>
      </c>
      <c r="I318" s="35" t="s">
        <v>103</v>
      </c>
      <c r="J318" s="35" t="s">
        <v>104</v>
      </c>
      <c r="K318" s="35" t="s">
        <v>105</v>
      </c>
      <c r="L318" s="35" t="s">
        <v>106</v>
      </c>
      <c r="M318" s="35" t="s">
        <v>107</v>
      </c>
      <c r="N318" s="52" t="b">
        <f t="shared" si="28"/>
        <v>0</v>
      </c>
      <c r="O318" s="52" t="b">
        <f t="shared" si="29"/>
        <v>0</v>
      </c>
      <c r="P318" s="52" t="b">
        <f t="shared" si="30"/>
        <v>0</v>
      </c>
      <c r="Q318" s="52" t="b">
        <f t="shared" si="31"/>
        <v>0</v>
      </c>
      <c r="R318" s="52" t="b">
        <f t="shared" si="32"/>
        <v>0</v>
      </c>
      <c r="S318" s="52" t="b">
        <f t="shared" si="33"/>
        <v>0</v>
      </c>
      <c r="T318" s="52" t="b">
        <f t="shared" si="34"/>
        <v>0</v>
      </c>
    </row>
    <row r="319" spans="3:20" ht="22.5" x14ac:dyDescent="0.2">
      <c r="C319" s="36" t="s">
        <v>52</v>
      </c>
      <c r="D319" s="37">
        <v>29</v>
      </c>
      <c r="E319" s="38" t="s">
        <v>511</v>
      </c>
      <c r="F319" s="38"/>
      <c r="G319" s="38"/>
      <c r="H319" s="38"/>
      <c r="I319" s="38"/>
      <c r="J319" s="38"/>
      <c r="K319" s="38"/>
      <c r="L319" s="39"/>
      <c r="M319" s="39"/>
      <c r="N319" s="52" t="b">
        <f t="shared" si="28"/>
        <v>0</v>
      </c>
      <c r="O319" s="52" t="b">
        <f t="shared" si="29"/>
        <v>0</v>
      </c>
      <c r="P319" s="52" t="b">
        <f t="shared" si="30"/>
        <v>0</v>
      </c>
      <c r="Q319" s="52" t="b">
        <f t="shared" si="31"/>
        <v>0</v>
      </c>
      <c r="R319" s="52" t="b">
        <f t="shared" si="32"/>
        <v>0</v>
      </c>
      <c r="S319" s="52" t="b">
        <f t="shared" si="33"/>
        <v>0</v>
      </c>
      <c r="T319" s="52" t="b">
        <f t="shared" si="34"/>
        <v>0</v>
      </c>
    </row>
    <row r="320" spans="3:20" x14ac:dyDescent="0.2">
      <c r="C320" s="36" t="s">
        <v>52</v>
      </c>
      <c r="D320" s="46"/>
      <c r="E320" s="47" t="s">
        <v>19</v>
      </c>
      <c r="F320" s="47"/>
      <c r="G320" s="47"/>
      <c r="H320" s="47"/>
      <c r="I320" s="47"/>
      <c r="J320" s="47"/>
      <c r="K320" s="47"/>
      <c r="L320" s="48"/>
      <c r="M320" s="48" t="s">
        <v>512</v>
      </c>
      <c r="N320" s="52" t="b">
        <f t="shared" si="28"/>
        <v>0</v>
      </c>
      <c r="O320" s="52" t="b">
        <f t="shared" si="29"/>
        <v>0</v>
      </c>
      <c r="P320" s="52" t="b">
        <f t="shared" si="30"/>
        <v>0</v>
      </c>
      <c r="Q320" s="52" t="b">
        <f t="shared" si="31"/>
        <v>0</v>
      </c>
      <c r="R320" s="52" t="b">
        <f t="shared" si="32"/>
        <v>0</v>
      </c>
      <c r="S320" s="52" t="b">
        <f t="shared" si="33"/>
        <v>0</v>
      </c>
      <c r="T320" s="52" t="b">
        <f t="shared" si="34"/>
        <v>0</v>
      </c>
    </row>
    <row r="321" spans="3:20" x14ac:dyDescent="0.2">
      <c r="C321" s="36" t="s">
        <v>52</v>
      </c>
      <c r="D321" s="46"/>
      <c r="E321" s="47" t="s">
        <v>112</v>
      </c>
      <c r="F321" s="47"/>
      <c r="G321" s="47"/>
      <c r="H321" s="47"/>
      <c r="I321" s="47"/>
      <c r="J321" s="47"/>
      <c r="K321" s="47"/>
      <c r="L321" s="48"/>
      <c r="M321" s="48" t="s">
        <v>513</v>
      </c>
      <c r="N321" s="52" t="b">
        <f t="shared" si="28"/>
        <v>0</v>
      </c>
      <c r="O321" s="52" t="b">
        <f t="shared" si="29"/>
        <v>0</v>
      </c>
      <c r="P321" s="52" t="b">
        <f t="shared" si="30"/>
        <v>0</v>
      </c>
      <c r="Q321" s="52" t="b">
        <f t="shared" si="31"/>
        <v>0</v>
      </c>
      <c r="R321" s="52" t="b">
        <f t="shared" si="32"/>
        <v>0</v>
      </c>
      <c r="S321" s="52" t="b">
        <f t="shared" si="33"/>
        <v>0</v>
      </c>
      <c r="T321" s="52" t="b">
        <f t="shared" si="34"/>
        <v>0</v>
      </c>
    </row>
    <row r="322" spans="3:20" x14ac:dyDescent="0.2">
      <c r="C322" s="36" t="s">
        <v>52</v>
      </c>
      <c r="D322" s="46" t="s">
        <v>514</v>
      </c>
      <c r="E322" s="47" t="s">
        <v>515</v>
      </c>
      <c r="F322" s="47" t="s">
        <v>67</v>
      </c>
      <c r="G322" s="47"/>
      <c r="H322" s="47"/>
      <c r="I322" s="47"/>
      <c r="J322" s="47"/>
      <c r="K322" s="47"/>
      <c r="L322" s="48"/>
      <c r="M322" s="48"/>
      <c r="N322" s="52" t="b">
        <f t="shared" si="28"/>
        <v>0</v>
      </c>
      <c r="O322" s="52" t="b">
        <f t="shared" si="29"/>
        <v>0</v>
      </c>
      <c r="P322" s="52" t="b">
        <f t="shared" si="30"/>
        <v>0</v>
      </c>
      <c r="Q322" s="52" t="b">
        <f t="shared" si="31"/>
        <v>0</v>
      </c>
      <c r="R322" s="52" t="b">
        <f t="shared" si="32"/>
        <v>0</v>
      </c>
      <c r="S322" s="52" t="b">
        <f t="shared" si="33"/>
        <v>0</v>
      </c>
      <c r="T322" s="52" t="b">
        <f t="shared" si="34"/>
        <v>0</v>
      </c>
    </row>
    <row r="323" spans="3:20" x14ac:dyDescent="0.2">
      <c r="C323" s="36" t="s">
        <v>52</v>
      </c>
      <c r="D323" s="46" t="s">
        <v>516</v>
      </c>
      <c r="E323" s="47" t="s">
        <v>517</v>
      </c>
      <c r="F323" s="47"/>
      <c r="G323" s="47"/>
      <c r="H323" s="47"/>
      <c r="I323" s="47"/>
      <c r="J323" s="47"/>
      <c r="K323" s="47"/>
      <c r="L323" s="48"/>
      <c r="M323" s="48"/>
      <c r="N323" s="52" t="str">
        <f t="shared" ref="N323:N386" si="35">IF(AND($C323="Упр", $C324="1s"), D323)</f>
        <v>29.1.1.</v>
      </c>
      <c r="O323" s="52" t="str">
        <f t="shared" ref="O323:O386" si="36">IF(AND($C323="Упр", $C324="1s"), D324)</f>
        <v>44.2 / 44.3</v>
      </c>
      <c r="P323" s="52" t="str">
        <f t="shared" ref="P323:P386" si="37">IF(AND($C323="Упр", $C324="1s"), F324)</f>
        <v>Расходы на реализацию в торговле / Управленческие расходы в торговле</v>
      </c>
      <c r="Q323" s="52">
        <f t="shared" ref="Q323:Q386" si="38">IF(AND($C323="Упр", $C324="1s"), G324)</f>
        <v>54</v>
      </c>
      <c r="R323" s="52" t="str">
        <f t="shared" ref="R323:R386" si="39">IF(AND($C323="Упр", $C324="1s"), H324)</f>
        <v>Аудиторские услуги</v>
      </c>
      <c r="S323" s="52" t="str">
        <f t="shared" ref="S323:S386" si="40">IF(AND($C323="Упр", $C324="1s"), I324)</f>
        <v>Элементы затрат</v>
      </c>
      <c r="T323" s="52" t="str">
        <f t="shared" ref="T323:T386" si="41">IF(AND($C323="Упр", $C324="1s"), E323)</f>
        <v>Аудиторские услуги</v>
      </c>
    </row>
    <row r="324" spans="3:20" ht="22.5" x14ac:dyDescent="0.2">
      <c r="C324" s="36" t="s">
        <v>1087</v>
      </c>
      <c r="D324" s="61" t="s">
        <v>125</v>
      </c>
      <c r="E324" s="61"/>
      <c r="F324" s="62" t="s">
        <v>126</v>
      </c>
      <c r="G324" s="62">
        <v>54</v>
      </c>
      <c r="H324" s="62" t="s">
        <v>517</v>
      </c>
      <c r="I324" s="62" t="s">
        <v>127</v>
      </c>
      <c r="J324" s="62" t="s">
        <v>128</v>
      </c>
      <c r="K324" s="62" t="s">
        <v>129</v>
      </c>
      <c r="L324" s="72"/>
      <c r="M324" s="73"/>
      <c r="N324" s="52" t="b">
        <f t="shared" si="35"/>
        <v>0</v>
      </c>
      <c r="O324" s="52" t="b">
        <f t="shared" si="36"/>
        <v>0</v>
      </c>
      <c r="P324" s="52" t="b">
        <f t="shared" si="37"/>
        <v>0</v>
      </c>
      <c r="Q324" s="52" t="b">
        <f t="shared" si="38"/>
        <v>0</v>
      </c>
      <c r="R324" s="52" t="b">
        <f t="shared" si="39"/>
        <v>0</v>
      </c>
      <c r="S324" s="52" t="b">
        <f t="shared" si="40"/>
        <v>0</v>
      </c>
      <c r="T324" s="52" t="b">
        <f t="shared" si="41"/>
        <v>0</v>
      </c>
    </row>
    <row r="325" spans="3:20" ht="22.5" x14ac:dyDescent="0.2">
      <c r="C325" s="36" t="s">
        <v>52</v>
      </c>
      <c r="D325" s="46" t="s">
        <v>518</v>
      </c>
      <c r="E325" s="47" t="s">
        <v>519</v>
      </c>
      <c r="F325" s="47"/>
      <c r="G325" s="47"/>
      <c r="H325" s="47"/>
      <c r="I325" s="47"/>
      <c r="J325" s="47"/>
      <c r="K325" s="47"/>
      <c r="L325" s="48"/>
      <c r="M325" s="48"/>
      <c r="N325" s="52" t="str">
        <f t="shared" si="35"/>
        <v>29.1.2.</v>
      </c>
      <c r="O325" s="52" t="str">
        <f t="shared" si="36"/>
        <v>44.2 / 44.3</v>
      </c>
      <c r="P325" s="52" t="str">
        <f t="shared" si="37"/>
        <v>Расходы на реализацию в торговле / Управленческие расходы в торговле</v>
      </c>
      <c r="Q325" s="52">
        <f t="shared" si="38"/>
        <v>56</v>
      </c>
      <c r="R325" s="52" t="str">
        <f t="shared" si="39"/>
        <v>Информационно-консультационные услуги</v>
      </c>
      <c r="S325" s="52" t="str">
        <f t="shared" si="40"/>
        <v>Элементы затрат</v>
      </c>
      <c r="T325" s="52" t="str">
        <f t="shared" si="41"/>
        <v>Информационно-консультационные услуги</v>
      </c>
    </row>
    <row r="326" spans="3:20" ht="22.5" x14ac:dyDescent="0.2">
      <c r="C326" s="36" t="s">
        <v>1087</v>
      </c>
      <c r="D326" s="61" t="s">
        <v>125</v>
      </c>
      <c r="E326" s="61"/>
      <c r="F326" s="62" t="s">
        <v>126</v>
      </c>
      <c r="G326" s="62">
        <v>56</v>
      </c>
      <c r="H326" s="62" t="s">
        <v>519</v>
      </c>
      <c r="I326" s="62" t="s">
        <v>127</v>
      </c>
      <c r="J326" s="62" t="s">
        <v>128</v>
      </c>
      <c r="K326" s="62" t="s">
        <v>129</v>
      </c>
      <c r="L326" s="72"/>
      <c r="M326" s="73"/>
      <c r="N326" s="52" t="b">
        <f t="shared" si="35"/>
        <v>0</v>
      </c>
      <c r="O326" s="52" t="b">
        <f t="shared" si="36"/>
        <v>0</v>
      </c>
      <c r="P326" s="52" t="b">
        <f t="shared" si="37"/>
        <v>0</v>
      </c>
      <c r="Q326" s="52" t="b">
        <f t="shared" si="38"/>
        <v>0</v>
      </c>
      <c r="R326" s="52" t="b">
        <f t="shared" si="39"/>
        <v>0</v>
      </c>
      <c r="S326" s="52" t="b">
        <f t="shared" si="40"/>
        <v>0</v>
      </c>
      <c r="T326" s="52" t="b">
        <f t="shared" si="41"/>
        <v>0</v>
      </c>
    </row>
    <row r="327" spans="3:20" ht="22.5" x14ac:dyDescent="0.2">
      <c r="C327" s="36" t="s">
        <v>52</v>
      </c>
      <c r="D327" s="46" t="s">
        <v>520</v>
      </c>
      <c r="E327" s="47" t="s">
        <v>521</v>
      </c>
      <c r="F327" s="47" t="s">
        <v>67</v>
      </c>
      <c r="G327" s="47"/>
      <c r="H327" s="47"/>
      <c r="I327" s="47"/>
      <c r="J327" s="47"/>
      <c r="K327" s="47"/>
      <c r="L327" s="48"/>
      <c r="M327" s="48"/>
      <c r="N327" s="52" t="str">
        <f t="shared" si="35"/>
        <v>29.2.</v>
      </c>
      <c r="O327" s="52" t="str">
        <f t="shared" si="36"/>
        <v>44.2 / 44.3</v>
      </c>
      <c r="P327" s="52" t="str">
        <f t="shared" si="37"/>
        <v>Расходы на реализацию в торговле / Управленческие расходы в торговле</v>
      </c>
      <c r="Q327" s="52">
        <f t="shared" si="38"/>
        <v>59</v>
      </c>
      <c r="R327" s="52" t="str">
        <f t="shared" si="39"/>
        <v>Подписка и приобр. печатных изданий</v>
      </c>
      <c r="S327" s="52" t="str">
        <f t="shared" si="40"/>
        <v>Элементы затрат</v>
      </c>
      <c r="T327" s="52" t="str">
        <f t="shared" si="41"/>
        <v>подписка и приобр. печатных изданий</v>
      </c>
    </row>
    <row r="328" spans="3:20" ht="22.5" x14ac:dyDescent="0.2">
      <c r="C328" s="36" t="s">
        <v>1087</v>
      </c>
      <c r="D328" s="61" t="s">
        <v>125</v>
      </c>
      <c r="E328" s="61"/>
      <c r="F328" s="62" t="s">
        <v>126</v>
      </c>
      <c r="G328" s="62">
        <v>59</v>
      </c>
      <c r="H328" s="62" t="s">
        <v>522</v>
      </c>
      <c r="I328" s="62" t="s">
        <v>127</v>
      </c>
      <c r="J328" s="62" t="s">
        <v>128</v>
      </c>
      <c r="K328" s="62" t="s">
        <v>129</v>
      </c>
      <c r="L328" s="72"/>
      <c r="M328" s="73"/>
      <c r="N328" s="52" t="b">
        <f t="shared" si="35"/>
        <v>0</v>
      </c>
      <c r="O328" s="52" t="b">
        <f t="shared" si="36"/>
        <v>0</v>
      </c>
      <c r="P328" s="52" t="b">
        <f t="shared" si="37"/>
        <v>0</v>
      </c>
      <c r="Q328" s="52" t="b">
        <f t="shared" si="38"/>
        <v>0</v>
      </c>
      <c r="R328" s="52" t="b">
        <f t="shared" si="39"/>
        <v>0</v>
      </c>
      <c r="S328" s="52" t="b">
        <f t="shared" si="40"/>
        <v>0</v>
      </c>
      <c r="T328" s="52" t="b">
        <f t="shared" si="41"/>
        <v>0</v>
      </c>
    </row>
    <row r="329" spans="3:20" x14ac:dyDescent="0.2">
      <c r="C329" s="36" t="s">
        <v>52</v>
      </c>
      <c r="D329" s="46" t="s">
        <v>523</v>
      </c>
      <c r="E329" s="47" t="s">
        <v>524</v>
      </c>
      <c r="F329" s="47" t="s">
        <v>67</v>
      </c>
      <c r="G329" s="47"/>
      <c r="H329" s="47"/>
      <c r="I329" s="47"/>
      <c r="J329" s="47"/>
      <c r="K329" s="47"/>
      <c r="L329" s="48" t="s">
        <v>377</v>
      </c>
      <c r="M329" s="48" t="s">
        <v>525</v>
      </c>
      <c r="N329" s="52" t="b">
        <f t="shared" si="35"/>
        <v>0</v>
      </c>
      <c r="O329" s="52" t="b">
        <f t="shared" si="36"/>
        <v>0</v>
      </c>
      <c r="P329" s="52" t="b">
        <f t="shared" si="37"/>
        <v>0</v>
      </c>
      <c r="Q329" s="52" t="b">
        <f t="shared" si="38"/>
        <v>0</v>
      </c>
      <c r="R329" s="52" t="b">
        <f t="shared" si="39"/>
        <v>0</v>
      </c>
      <c r="S329" s="52" t="b">
        <f t="shared" si="40"/>
        <v>0</v>
      </c>
      <c r="T329" s="52" t="b">
        <f t="shared" si="41"/>
        <v>0</v>
      </c>
    </row>
    <row r="330" spans="3:20" x14ac:dyDescent="0.2">
      <c r="C330" s="36" t="s">
        <v>52</v>
      </c>
      <c r="D330" s="46" t="s">
        <v>526</v>
      </c>
      <c r="E330" s="47" t="s">
        <v>527</v>
      </c>
      <c r="F330" s="47"/>
      <c r="G330" s="47"/>
      <c r="H330" s="47"/>
      <c r="I330" s="47"/>
      <c r="J330" s="47"/>
      <c r="K330" s="47"/>
      <c r="L330" s="48"/>
      <c r="M330" s="48"/>
      <c r="N330" s="52" t="str">
        <f t="shared" si="35"/>
        <v>29.3.1.</v>
      </c>
      <c r="O330" s="52" t="str">
        <f t="shared" si="36"/>
        <v>44.2 / 44.3</v>
      </c>
      <c r="P330" s="52" t="str">
        <f t="shared" si="37"/>
        <v>Расходы на реализацию в торговле / Управленческие расходы в торговле</v>
      </c>
      <c r="Q330" s="52">
        <f t="shared" si="38"/>
        <v>63</v>
      </c>
      <c r="R330" s="52" t="str">
        <f t="shared" si="39"/>
        <v>Услуги в сфере ИТ</v>
      </c>
      <c r="S330" s="52" t="str">
        <f t="shared" si="40"/>
        <v>Элементы затрат</v>
      </c>
      <c r="T330" s="52" t="str">
        <f t="shared" si="41"/>
        <v>Услуги в сфере ИТ</v>
      </c>
    </row>
    <row r="331" spans="3:20" ht="22.5" x14ac:dyDescent="0.2">
      <c r="C331" s="36" t="s">
        <v>1087</v>
      </c>
      <c r="D331" s="61" t="s">
        <v>125</v>
      </c>
      <c r="E331" s="61"/>
      <c r="F331" s="62" t="s">
        <v>126</v>
      </c>
      <c r="G331" s="62">
        <v>63</v>
      </c>
      <c r="H331" s="62" t="s">
        <v>527</v>
      </c>
      <c r="I331" s="62" t="s">
        <v>127</v>
      </c>
      <c r="J331" s="62" t="s">
        <v>128</v>
      </c>
      <c r="K331" s="62" t="s">
        <v>129</v>
      </c>
      <c r="L331" s="62"/>
      <c r="M331" s="73"/>
      <c r="N331" s="52" t="b">
        <f t="shared" si="35"/>
        <v>0</v>
      </c>
      <c r="O331" s="52" t="b">
        <f t="shared" si="36"/>
        <v>0</v>
      </c>
      <c r="P331" s="52" t="b">
        <f t="shared" si="37"/>
        <v>0</v>
      </c>
      <c r="Q331" s="52" t="b">
        <f t="shared" si="38"/>
        <v>0</v>
      </c>
      <c r="R331" s="52" t="b">
        <f t="shared" si="39"/>
        <v>0</v>
      </c>
      <c r="S331" s="52" t="b">
        <f t="shared" si="40"/>
        <v>0</v>
      </c>
      <c r="T331" s="52" t="b">
        <f t="shared" si="41"/>
        <v>0</v>
      </c>
    </row>
    <row r="332" spans="3:20" ht="33.75" x14ac:dyDescent="0.2">
      <c r="C332" s="36" t="s">
        <v>52</v>
      </c>
      <c r="D332" s="46" t="s">
        <v>528</v>
      </c>
      <c r="E332" s="47" t="s">
        <v>529</v>
      </c>
      <c r="F332" s="47"/>
      <c r="G332" s="47"/>
      <c r="H332" s="47"/>
      <c r="I332" s="47"/>
      <c r="J332" s="47"/>
      <c r="K332" s="47"/>
      <c r="L332" s="48"/>
      <c r="M332" s="48"/>
      <c r="N332" s="52" t="str">
        <f t="shared" si="35"/>
        <v>29.3.2.</v>
      </c>
      <c r="O332" s="52" t="str">
        <f t="shared" si="36"/>
        <v>44.2 / 44.3</v>
      </c>
      <c r="P332" s="52" t="str">
        <f t="shared" si="37"/>
        <v>Расходы на реализацию в торговле / Управленческие расходы в торговле</v>
      </c>
      <c r="Q332" s="52">
        <f t="shared" si="38"/>
        <v>178</v>
      </c>
      <c r="R332" s="52" t="str">
        <f t="shared" si="39"/>
        <v>Обслуживание и ремонт компьютерного оборудования и оргтехники</v>
      </c>
      <c r="S332" s="52" t="str">
        <f t="shared" si="40"/>
        <v>Элементы затрат</v>
      </c>
      <c r="T332" s="52" t="str">
        <f t="shared" si="41"/>
        <v>Обслуживание и ремонт компьютерного оборудования и оргтехники</v>
      </c>
    </row>
    <row r="333" spans="3:20" ht="33.75" x14ac:dyDescent="0.2">
      <c r="C333" s="36" t="s">
        <v>1087</v>
      </c>
      <c r="D333" s="61" t="s">
        <v>125</v>
      </c>
      <c r="E333" s="61"/>
      <c r="F333" s="62" t="s">
        <v>126</v>
      </c>
      <c r="G333" s="62">
        <v>178</v>
      </c>
      <c r="H333" s="62" t="s">
        <v>529</v>
      </c>
      <c r="I333" s="62" t="s">
        <v>127</v>
      </c>
      <c r="J333" s="62" t="s">
        <v>128</v>
      </c>
      <c r="K333" s="62" t="s">
        <v>129</v>
      </c>
      <c r="L333" s="62"/>
      <c r="M333" s="73"/>
      <c r="N333" s="52" t="b">
        <f t="shared" si="35"/>
        <v>0</v>
      </c>
      <c r="O333" s="52" t="b">
        <f t="shared" si="36"/>
        <v>0</v>
      </c>
      <c r="P333" s="52" t="b">
        <f t="shared" si="37"/>
        <v>0</v>
      </c>
      <c r="Q333" s="52" t="b">
        <f t="shared" si="38"/>
        <v>0</v>
      </c>
      <c r="R333" s="52" t="b">
        <f t="shared" si="39"/>
        <v>0</v>
      </c>
      <c r="S333" s="52" t="b">
        <f t="shared" si="40"/>
        <v>0</v>
      </c>
      <c r="T333" s="52" t="b">
        <f t="shared" si="41"/>
        <v>0</v>
      </c>
    </row>
    <row r="334" spans="3:20" ht="22.5" x14ac:dyDescent="0.2">
      <c r="C334" s="36" t="s">
        <v>52</v>
      </c>
      <c r="D334" s="46" t="s">
        <v>530</v>
      </c>
      <c r="E334" s="47" t="s">
        <v>531</v>
      </c>
      <c r="F334" s="47" t="s">
        <v>532</v>
      </c>
      <c r="G334" s="47"/>
      <c r="H334" s="47"/>
      <c r="I334" s="47"/>
      <c r="J334" s="47"/>
      <c r="K334" s="47"/>
      <c r="L334" s="48"/>
      <c r="M334" s="48" t="s">
        <v>533</v>
      </c>
      <c r="N334" s="52" t="b">
        <f t="shared" si="35"/>
        <v>0</v>
      </c>
      <c r="O334" s="52" t="b">
        <f t="shared" si="36"/>
        <v>0</v>
      </c>
      <c r="P334" s="52" t="b">
        <f t="shared" si="37"/>
        <v>0</v>
      </c>
      <c r="Q334" s="52" t="b">
        <f t="shared" si="38"/>
        <v>0</v>
      </c>
      <c r="R334" s="52" t="b">
        <f t="shared" si="39"/>
        <v>0</v>
      </c>
      <c r="S334" s="52" t="b">
        <f t="shared" si="40"/>
        <v>0</v>
      </c>
      <c r="T334" s="52" t="b">
        <f t="shared" si="41"/>
        <v>0</v>
      </c>
    </row>
    <row r="335" spans="3:20" ht="56.25" x14ac:dyDescent="0.2">
      <c r="C335" s="36" t="s">
        <v>52</v>
      </c>
      <c r="D335" s="46" t="s">
        <v>534</v>
      </c>
      <c r="E335" s="47" t="s">
        <v>535</v>
      </c>
      <c r="F335" s="47"/>
      <c r="G335" s="47"/>
      <c r="H335" s="47"/>
      <c r="I335" s="47"/>
      <c r="J335" s="47"/>
      <c r="K335" s="47"/>
      <c r="L335" s="48"/>
      <c r="M335" s="48"/>
      <c r="N335" s="52" t="str">
        <f t="shared" si="35"/>
        <v>29.4.2.</v>
      </c>
      <c r="O335" s="52" t="str">
        <f t="shared" si="36"/>
        <v>44.2 / 44.3</v>
      </c>
      <c r="P335" s="52" t="str">
        <f t="shared" si="37"/>
        <v>Расходы на реализацию в торговле / Управленческие расходы в торговле</v>
      </c>
      <c r="Q335" s="52">
        <f t="shared" si="38"/>
        <v>530</v>
      </c>
      <c r="R335" s="52" t="str">
        <f t="shared" si="39"/>
        <v>Материально-техническое обеспечение обучения (аренда: помещений, транспорта, оборудования; проживание в Шале в период об</v>
      </c>
      <c r="S335" s="52" t="str">
        <f t="shared" si="40"/>
        <v>Элементы затрат</v>
      </c>
      <c r="T335" s="52" t="str">
        <f t="shared" si="41"/>
        <v>Материально-техническое обеспечение обучения (аренда: помещений, транспорта, оборудования; проживание в Шале в период об</v>
      </c>
    </row>
    <row r="336" spans="3:20" ht="56.25" x14ac:dyDescent="0.2">
      <c r="C336" s="36" t="s">
        <v>1087</v>
      </c>
      <c r="D336" s="61" t="s">
        <v>125</v>
      </c>
      <c r="E336" s="61"/>
      <c r="F336" s="62" t="s">
        <v>126</v>
      </c>
      <c r="G336" s="62">
        <v>530</v>
      </c>
      <c r="H336" s="62" t="s">
        <v>535</v>
      </c>
      <c r="I336" s="62" t="s">
        <v>127</v>
      </c>
      <c r="J336" s="62" t="s">
        <v>128</v>
      </c>
      <c r="K336" s="62" t="s">
        <v>129</v>
      </c>
      <c r="L336" s="72"/>
      <c r="M336" s="73"/>
      <c r="N336" s="52" t="b">
        <f t="shared" si="35"/>
        <v>0</v>
      </c>
      <c r="O336" s="52" t="b">
        <f t="shared" si="36"/>
        <v>0</v>
      </c>
      <c r="P336" s="52" t="b">
        <f t="shared" si="37"/>
        <v>0</v>
      </c>
      <c r="Q336" s="52" t="b">
        <f t="shared" si="38"/>
        <v>0</v>
      </c>
      <c r="R336" s="52" t="b">
        <f t="shared" si="39"/>
        <v>0</v>
      </c>
      <c r="S336" s="52" t="b">
        <f t="shared" si="40"/>
        <v>0</v>
      </c>
      <c r="T336" s="52" t="b">
        <f t="shared" si="41"/>
        <v>0</v>
      </c>
    </row>
    <row r="337" spans="3:20" ht="22.5" x14ac:dyDescent="0.2">
      <c r="C337" s="36" t="s">
        <v>52</v>
      </c>
      <c r="D337" s="46" t="s">
        <v>536</v>
      </c>
      <c r="E337" s="47" t="s">
        <v>537</v>
      </c>
      <c r="F337" s="47"/>
      <c r="G337" s="47"/>
      <c r="H337" s="47"/>
      <c r="I337" s="47"/>
      <c r="J337" s="47"/>
      <c r="K337" s="47"/>
      <c r="L337" s="48"/>
      <c r="M337" s="48"/>
      <c r="N337" s="52" t="str">
        <f t="shared" si="35"/>
        <v>29.4.3.</v>
      </c>
      <c r="O337" s="52" t="str">
        <f t="shared" si="36"/>
        <v>44.2 / 44.3</v>
      </c>
      <c r="P337" s="52" t="str">
        <f t="shared" si="37"/>
        <v>Расходы на реализацию в торговле / Управленческие расходы в торговле</v>
      </c>
      <c r="Q337" s="52">
        <f t="shared" si="38"/>
        <v>521</v>
      </c>
      <c r="R337" s="52" t="str">
        <f t="shared" si="39"/>
        <v>Обучение по профессиональным компетенциям</v>
      </c>
      <c r="S337" s="52" t="str">
        <f t="shared" si="40"/>
        <v>Элементы затрат</v>
      </c>
      <c r="T337" s="52" t="str">
        <f t="shared" si="41"/>
        <v>Обучение по профессиональным компетенциям</v>
      </c>
    </row>
    <row r="338" spans="3:20" ht="22.5" x14ac:dyDescent="0.2">
      <c r="C338" s="36" t="s">
        <v>1087</v>
      </c>
      <c r="D338" s="61" t="s">
        <v>125</v>
      </c>
      <c r="E338" s="61"/>
      <c r="F338" s="62" t="s">
        <v>126</v>
      </c>
      <c r="G338" s="62">
        <v>521</v>
      </c>
      <c r="H338" s="62" t="s">
        <v>537</v>
      </c>
      <c r="I338" s="62" t="s">
        <v>127</v>
      </c>
      <c r="J338" s="62" t="s">
        <v>128</v>
      </c>
      <c r="K338" s="62" t="s">
        <v>129</v>
      </c>
      <c r="L338" s="72"/>
      <c r="M338" s="73"/>
      <c r="N338" s="52" t="b">
        <f t="shared" si="35"/>
        <v>0</v>
      </c>
      <c r="O338" s="52" t="b">
        <f t="shared" si="36"/>
        <v>0</v>
      </c>
      <c r="P338" s="52" t="b">
        <f t="shared" si="37"/>
        <v>0</v>
      </c>
      <c r="Q338" s="52" t="b">
        <f t="shared" si="38"/>
        <v>0</v>
      </c>
      <c r="R338" s="52" t="b">
        <f t="shared" si="39"/>
        <v>0</v>
      </c>
      <c r="S338" s="52" t="b">
        <f t="shared" si="40"/>
        <v>0</v>
      </c>
      <c r="T338" s="52" t="b">
        <f t="shared" si="41"/>
        <v>0</v>
      </c>
    </row>
    <row r="339" spans="3:20" x14ac:dyDescent="0.2">
      <c r="C339" s="36" t="s">
        <v>52</v>
      </c>
      <c r="D339" s="46" t="s">
        <v>538</v>
      </c>
      <c r="E339" s="47" t="s">
        <v>539</v>
      </c>
      <c r="F339" s="47"/>
      <c r="G339" s="47"/>
      <c r="H339" s="47"/>
      <c r="I339" s="47"/>
      <c r="J339" s="47"/>
      <c r="K339" s="47"/>
      <c r="L339" s="48"/>
      <c r="M339" s="48"/>
      <c r="N339" s="52" t="str">
        <f t="shared" si="35"/>
        <v>29.4.4.</v>
      </c>
      <c r="O339" s="52" t="str">
        <f t="shared" si="36"/>
        <v>44.2 / 44.3</v>
      </c>
      <c r="P339" s="52" t="str">
        <f t="shared" si="37"/>
        <v>Расходы на реализацию в торговле / Управленческие расходы в торговле</v>
      </c>
      <c r="Q339" s="52">
        <f t="shared" si="38"/>
        <v>520</v>
      </c>
      <c r="R339" s="52" t="str">
        <f t="shared" si="39"/>
        <v>Обязательное обучение</v>
      </c>
      <c r="S339" s="52" t="str">
        <f t="shared" si="40"/>
        <v>Элементы затрат</v>
      </c>
      <c r="T339" s="52" t="str">
        <f t="shared" si="41"/>
        <v>Обязательное обучение</v>
      </c>
    </row>
    <row r="340" spans="3:20" ht="22.5" x14ac:dyDescent="0.2">
      <c r="C340" s="36" t="s">
        <v>1087</v>
      </c>
      <c r="D340" s="61" t="s">
        <v>125</v>
      </c>
      <c r="E340" s="61"/>
      <c r="F340" s="62" t="s">
        <v>126</v>
      </c>
      <c r="G340" s="62">
        <v>520</v>
      </c>
      <c r="H340" s="62" t="s">
        <v>539</v>
      </c>
      <c r="I340" s="62" t="s">
        <v>127</v>
      </c>
      <c r="J340" s="62" t="s">
        <v>128</v>
      </c>
      <c r="K340" s="62" t="s">
        <v>129</v>
      </c>
      <c r="L340" s="72"/>
      <c r="M340" s="73"/>
      <c r="N340" s="52" t="b">
        <f t="shared" si="35"/>
        <v>0</v>
      </c>
      <c r="O340" s="52" t="b">
        <f t="shared" si="36"/>
        <v>0</v>
      </c>
      <c r="P340" s="52" t="b">
        <f t="shared" si="37"/>
        <v>0</v>
      </c>
      <c r="Q340" s="52" t="b">
        <f t="shared" si="38"/>
        <v>0</v>
      </c>
      <c r="R340" s="52" t="b">
        <f t="shared" si="39"/>
        <v>0</v>
      </c>
      <c r="S340" s="52" t="b">
        <f t="shared" si="40"/>
        <v>0</v>
      </c>
      <c r="T340" s="52" t="b">
        <f t="shared" si="41"/>
        <v>0</v>
      </c>
    </row>
    <row r="341" spans="3:20" x14ac:dyDescent="0.2">
      <c r="C341" s="36" t="s">
        <v>52</v>
      </c>
      <c r="D341" s="46" t="s">
        <v>540</v>
      </c>
      <c r="E341" s="47" t="s">
        <v>541</v>
      </c>
      <c r="F341" s="47"/>
      <c r="G341" s="47"/>
      <c r="H341" s="47"/>
      <c r="I341" s="47"/>
      <c r="J341" s="47"/>
      <c r="K341" s="47"/>
      <c r="L341" s="48"/>
      <c r="M341" s="48"/>
      <c r="N341" s="52" t="str">
        <f t="shared" si="35"/>
        <v>29.4.5.</v>
      </c>
      <c r="O341" s="52" t="str">
        <f t="shared" si="36"/>
        <v>44.2 / 44.3</v>
      </c>
      <c r="P341" s="52" t="str">
        <f t="shared" si="37"/>
        <v>Расходы на реализацию в торговле / Управленческие расходы в торговле</v>
      </c>
      <c r="Q341" s="52">
        <f t="shared" si="38"/>
        <v>524</v>
      </c>
      <c r="R341" s="52" t="str">
        <f t="shared" si="39"/>
        <v>Проезд (обучение)</v>
      </c>
      <c r="S341" s="52" t="str">
        <f t="shared" si="40"/>
        <v>Элементы затрат</v>
      </c>
      <c r="T341" s="52" t="str">
        <f t="shared" si="41"/>
        <v>Проезд (обучение)</v>
      </c>
    </row>
    <row r="342" spans="3:20" ht="22.5" x14ac:dyDescent="0.2">
      <c r="C342" s="36" t="s">
        <v>1087</v>
      </c>
      <c r="D342" s="61" t="s">
        <v>125</v>
      </c>
      <c r="E342" s="61"/>
      <c r="F342" s="62" t="s">
        <v>126</v>
      </c>
      <c r="G342" s="62">
        <v>524</v>
      </c>
      <c r="H342" s="62" t="s">
        <v>541</v>
      </c>
      <c r="I342" s="62" t="s">
        <v>127</v>
      </c>
      <c r="J342" s="62" t="s">
        <v>128</v>
      </c>
      <c r="K342" s="62" t="s">
        <v>129</v>
      </c>
      <c r="L342" s="72"/>
      <c r="M342" s="73"/>
      <c r="N342" s="52" t="b">
        <f t="shared" si="35"/>
        <v>0</v>
      </c>
      <c r="O342" s="52" t="b">
        <f t="shared" si="36"/>
        <v>0</v>
      </c>
      <c r="P342" s="52" t="b">
        <f t="shared" si="37"/>
        <v>0</v>
      </c>
      <c r="Q342" s="52" t="b">
        <f t="shared" si="38"/>
        <v>0</v>
      </c>
      <c r="R342" s="52" t="b">
        <f t="shared" si="39"/>
        <v>0</v>
      </c>
      <c r="S342" s="52" t="b">
        <f t="shared" si="40"/>
        <v>0</v>
      </c>
      <c r="T342" s="52" t="b">
        <f t="shared" si="41"/>
        <v>0</v>
      </c>
    </row>
    <row r="343" spans="3:20" x14ac:dyDescent="0.2">
      <c r="C343" s="36" t="s">
        <v>52</v>
      </c>
      <c r="D343" s="46" t="s">
        <v>542</v>
      </c>
      <c r="E343" s="47" t="s">
        <v>543</v>
      </c>
      <c r="F343" s="47"/>
      <c r="G343" s="47"/>
      <c r="H343" s="47"/>
      <c r="I343" s="47"/>
      <c r="J343" s="47"/>
      <c r="K343" s="47"/>
      <c r="L343" s="48"/>
      <c r="M343" s="48"/>
      <c r="N343" s="52" t="str">
        <f t="shared" si="35"/>
        <v>29.4.6.</v>
      </c>
      <c r="O343" s="52" t="str">
        <f t="shared" si="36"/>
        <v>44.2 / 44.3</v>
      </c>
      <c r="P343" s="52" t="str">
        <f t="shared" si="37"/>
        <v>Расходы на реализацию в торговле / Управленческие расходы в торговле</v>
      </c>
      <c r="Q343" s="52">
        <f t="shared" si="38"/>
        <v>525</v>
      </c>
      <c r="R343" s="52" t="str">
        <f t="shared" si="39"/>
        <v>Проживание (обучение)</v>
      </c>
      <c r="S343" s="52" t="str">
        <f t="shared" si="40"/>
        <v>Элементы затрат</v>
      </c>
      <c r="T343" s="52" t="str">
        <f t="shared" si="41"/>
        <v>Проживание (обучение)</v>
      </c>
    </row>
    <row r="344" spans="3:20" ht="22.5" x14ac:dyDescent="0.2">
      <c r="C344" s="36" t="s">
        <v>1087</v>
      </c>
      <c r="D344" s="61" t="s">
        <v>125</v>
      </c>
      <c r="E344" s="61"/>
      <c r="F344" s="62" t="s">
        <v>126</v>
      </c>
      <c r="G344" s="62">
        <v>525</v>
      </c>
      <c r="H344" s="62" t="s">
        <v>543</v>
      </c>
      <c r="I344" s="62" t="s">
        <v>127</v>
      </c>
      <c r="J344" s="62" t="s">
        <v>128</v>
      </c>
      <c r="K344" s="62" t="s">
        <v>129</v>
      </c>
      <c r="L344" s="72"/>
      <c r="M344" s="73"/>
      <c r="N344" s="52" t="b">
        <f t="shared" si="35"/>
        <v>0</v>
      </c>
      <c r="O344" s="52" t="b">
        <f t="shared" si="36"/>
        <v>0</v>
      </c>
      <c r="P344" s="52" t="b">
        <f t="shared" si="37"/>
        <v>0</v>
      </c>
      <c r="Q344" s="52" t="b">
        <f t="shared" si="38"/>
        <v>0</v>
      </c>
      <c r="R344" s="52" t="b">
        <f t="shared" si="39"/>
        <v>0</v>
      </c>
      <c r="S344" s="52" t="b">
        <f t="shared" si="40"/>
        <v>0</v>
      </c>
      <c r="T344" s="52" t="b">
        <f t="shared" si="41"/>
        <v>0</v>
      </c>
    </row>
    <row r="345" spans="3:20" x14ac:dyDescent="0.2">
      <c r="C345" s="36" t="s">
        <v>52</v>
      </c>
      <c r="D345" s="46" t="s">
        <v>544</v>
      </c>
      <c r="E345" s="47" t="s">
        <v>545</v>
      </c>
      <c r="F345" s="47"/>
      <c r="G345" s="47"/>
      <c r="H345" s="47"/>
      <c r="I345" s="47"/>
      <c r="J345" s="47"/>
      <c r="K345" s="47"/>
      <c r="L345" s="48"/>
      <c r="M345" s="48"/>
      <c r="N345" s="52" t="str">
        <f t="shared" si="35"/>
        <v>29.4.7.</v>
      </c>
      <c r="O345" s="52" t="str">
        <f t="shared" si="36"/>
        <v>44.2 / 44.3</v>
      </c>
      <c r="P345" s="52" t="str">
        <f t="shared" si="37"/>
        <v>Расходы на реализацию в торговле / Управленческие расходы в торговле</v>
      </c>
      <c r="Q345" s="52">
        <f t="shared" si="38"/>
        <v>526</v>
      </c>
      <c r="R345" s="52" t="str">
        <f t="shared" si="39"/>
        <v>Суточные (обучение)</v>
      </c>
      <c r="S345" s="52" t="str">
        <f t="shared" si="40"/>
        <v>Элементы затрат</v>
      </c>
      <c r="T345" s="52" t="str">
        <f t="shared" si="41"/>
        <v>Суточные (обучение)</v>
      </c>
    </row>
    <row r="346" spans="3:20" ht="22.5" x14ac:dyDescent="0.2">
      <c r="C346" s="36" t="s">
        <v>1087</v>
      </c>
      <c r="D346" s="61" t="s">
        <v>125</v>
      </c>
      <c r="E346" s="61"/>
      <c r="F346" s="62" t="s">
        <v>126</v>
      </c>
      <c r="G346" s="62">
        <v>526</v>
      </c>
      <c r="H346" s="62" t="s">
        <v>545</v>
      </c>
      <c r="I346" s="62" t="s">
        <v>127</v>
      </c>
      <c r="J346" s="62" t="s">
        <v>128</v>
      </c>
      <c r="K346" s="62" t="s">
        <v>129</v>
      </c>
      <c r="L346" s="72"/>
      <c r="M346" s="73"/>
      <c r="N346" s="52" t="b">
        <f t="shared" si="35"/>
        <v>0</v>
      </c>
      <c r="O346" s="52" t="b">
        <f t="shared" si="36"/>
        <v>0</v>
      </c>
      <c r="P346" s="52" t="b">
        <f t="shared" si="37"/>
        <v>0</v>
      </c>
      <c r="Q346" s="52" t="b">
        <f t="shared" si="38"/>
        <v>0</v>
      </c>
      <c r="R346" s="52" t="b">
        <f t="shared" si="39"/>
        <v>0</v>
      </c>
      <c r="S346" s="52" t="b">
        <f t="shared" si="40"/>
        <v>0</v>
      </c>
      <c r="T346" s="52" t="b">
        <f t="shared" si="41"/>
        <v>0</v>
      </c>
    </row>
    <row r="347" spans="3:20" x14ac:dyDescent="0.2">
      <c r="C347" s="36" t="s">
        <v>52</v>
      </c>
      <c r="D347" s="43"/>
      <c r="E347" s="44" t="s">
        <v>546</v>
      </c>
      <c r="F347" s="44" t="s">
        <v>57</v>
      </c>
      <c r="G347" s="44"/>
      <c r="H347" s="44"/>
      <c r="I347" s="44"/>
      <c r="J347" s="44"/>
      <c r="K347" s="44"/>
      <c r="L347" s="45"/>
      <c r="M347" s="45"/>
      <c r="N347" s="52">
        <f t="shared" si="35"/>
        <v>0</v>
      </c>
      <c r="O347" s="52" t="str">
        <f t="shared" si="36"/>
        <v>44.2 / 44.3</v>
      </c>
      <c r="P347" s="52" t="str">
        <f t="shared" si="37"/>
        <v>Расходы на реализацию в торговле / Управленческие расходы в торговле</v>
      </c>
      <c r="Q347" s="52">
        <f t="shared" si="38"/>
        <v>58</v>
      </c>
      <c r="R347" s="52" t="str">
        <f t="shared" si="39"/>
        <v>Обучение</v>
      </c>
      <c r="S347" s="52" t="str">
        <f t="shared" si="40"/>
        <v>Элементы затрат</v>
      </c>
      <c r="T347" s="52" t="str">
        <f t="shared" si="41"/>
        <v>Обучение</v>
      </c>
    </row>
    <row r="348" spans="3:20" ht="22.5" x14ac:dyDescent="0.2">
      <c r="C348" s="36" t="s">
        <v>1087</v>
      </c>
      <c r="D348" s="61" t="s">
        <v>125</v>
      </c>
      <c r="E348" s="61"/>
      <c r="F348" s="62" t="s">
        <v>126</v>
      </c>
      <c r="G348" s="62">
        <v>58</v>
      </c>
      <c r="H348" s="62" t="s">
        <v>546</v>
      </c>
      <c r="I348" s="62" t="s">
        <v>127</v>
      </c>
      <c r="J348" s="62" t="s">
        <v>128</v>
      </c>
      <c r="K348" s="62" t="s">
        <v>129</v>
      </c>
      <c r="L348" s="72"/>
      <c r="M348" s="73"/>
      <c r="N348" s="52" t="b">
        <f t="shared" si="35"/>
        <v>0</v>
      </c>
      <c r="O348" s="52" t="b">
        <f t="shared" si="36"/>
        <v>0</v>
      </c>
      <c r="P348" s="52" t="b">
        <f t="shared" si="37"/>
        <v>0</v>
      </c>
      <c r="Q348" s="52" t="b">
        <f t="shared" si="38"/>
        <v>0</v>
      </c>
      <c r="R348" s="52" t="b">
        <f t="shared" si="39"/>
        <v>0</v>
      </c>
      <c r="S348" s="52" t="b">
        <f t="shared" si="40"/>
        <v>0</v>
      </c>
      <c r="T348" s="52" t="b">
        <f t="shared" si="41"/>
        <v>0</v>
      </c>
    </row>
    <row r="349" spans="3:20" x14ac:dyDescent="0.2">
      <c r="C349" s="36" t="s">
        <v>52</v>
      </c>
      <c r="D349" s="43"/>
      <c r="E349" s="44" t="s">
        <v>547</v>
      </c>
      <c r="F349" s="44" t="s">
        <v>57</v>
      </c>
      <c r="G349" s="44"/>
      <c r="H349" s="44"/>
      <c r="I349" s="44"/>
      <c r="J349" s="44"/>
      <c r="K349" s="44"/>
      <c r="L349" s="45"/>
      <c r="M349" s="45"/>
      <c r="N349" s="52">
        <f t="shared" si="35"/>
        <v>0</v>
      </c>
      <c r="O349" s="52" t="str">
        <f t="shared" si="36"/>
        <v>44.2 / 44.3</v>
      </c>
      <c r="P349" s="52" t="str">
        <f t="shared" si="37"/>
        <v>Расходы на реализацию в торговле / Управленческие расходы в торговле</v>
      </c>
      <c r="Q349" s="52">
        <f t="shared" si="38"/>
        <v>62</v>
      </c>
      <c r="R349" s="52" t="str">
        <f t="shared" si="39"/>
        <v>Семинары</v>
      </c>
      <c r="S349" s="52" t="str">
        <f t="shared" si="40"/>
        <v>Элементы затрат</v>
      </c>
      <c r="T349" s="52" t="str">
        <f t="shared" si="41"/>
        <v>Семинары</v>
      </c>
    </row>
    <row r="350" spans="3:20" ht="22.5" x14ac:dyDescent="0.2">
      <c r="C350" s="36" t="s">
        <v>1087</v>
      </c>
      <c r="D350" s="61" t="s">
        <v>125</v>
      </c>
      <c r="E350" s="61"/>
      <c r="F350" s="62" t="s">
        <v>126</v>
      </c>
      <c r="G350" s="62">
        <v>62</v>
      </c>
      <c r="H350" s="62" t="s">
        <v>547</v>
      </c>
      <c r="I350" s="62" t="s">
        <v>127</v>
      </c>
      <c r="J350" s="62" t="s">
        <v>128</v>
      </c>
      <c r="K350" s="62" t="s">
        <v>129</v>
      </c>
      <c r="L350" s="72"/>
      <c r="M350" s="73"/>
      <c r="N350" s="52" t="b">
        <f t="shared" si="35"/>
        <v>0</v>
      </c>
      <c r="O350" s="52" t="b">
        <f t="shared" si="36"/>
        <v>0</v>
      </c>
      <c r="P350" s="52" t="b">
        <f t="shared" si="37"/>
        <v>0</v>
      </c>
      <c r="Q350" s="52" t="b">
        <f t="shared" si="38"/>
        <v>0</v>
      </c>
      <c r="R350" s="52" t="b">
        <f t="shared" si="39"/>
        <v>0</v>
      </c>
      <c r="S350" s="52" t="b">
        <f t="shared" si="40"/>
        <v>0</v>
      </c>
      <c r="T350" s="52" t="b">
        <f t="shared" si="41"/>
        <v>0</v>
      </c>
    </row>
    <row r="351" spans="3:20" ht="22.5" x14ac:dyDescent="0.2">
      <c r="C351" s="36" t="s">
        <v>52</v>
      </c>
      <c r="D351" s="43"/>
      <c r="E351" s="44" t="s">
        <v>548</v>
      </c>
      <c r="F351" s="44" t="s">
        <v>57</v>
      </c>
      <c r="G351" s="44"/>
      <c r="H351" s="44"/>
      <c r="I351" s="44"/>
      <c r="J351" s="44"/>
      <c r="K351" s="44"/>
      <c r="L351" s="45"/>
      <c r="M351" s="45"/>
      <c r="N351" s="52">
        <f t="shared" si="35"/>
        <v>0</v>
      </c>
      <c r="O351" s="52" t="str">
        <f t="shared" si="36"/>
        <v>44.2 / 44.3</v>
      </c>
      <c r="P351" s="52" t="str">
        <f t="shared" si="37"/>
        <v>Расходы на реализацию в торговле / Управленческие расходы в торговле</v>
      </c>
      <c r="Q351" s="52">
        <f t="shared" si="38"/>
        <v>506</v>
      </c>
      <c r="R351" s="52" t="str">
        <f t="shared" si="39"/>
        <v>Оплата услуг провайдеров по оценке персонала</v>
      </c>
      <c r="S351" s="52" t="str">
        <f t="shared" si="40"/>
        <v>Элементы затрат</v>
      </c>
      <c r="T351" s="52" t="str">
        <f t="shared" si="41"/>
        <v>Оплата услуг провайдеров по оценке персонала</v>
      </c>
    </row>
    <row r="352" spans="3:20" ht="22.5" x14ac:dyDescent="0.2">
      <c r="C352" s="36" t="s">
        <v>1087</v>
      </c>
      <c r="D352" s="61" t="s">
        <v>125</v>
      </c>
      <c r="E352" s="61"/>
      <c r="F352" s="62" t="s">
        <v>126</v>
      </c>
      <c r="G352" s="62">
        <v>506</v>
      </c>
      <c r="H352" s="62" t="s">
        <v>548</v>
      </c>
      <c r="I352" s="62" t="s">
        <v>127</v>
      </c>
      <c r="J352" s="62" t="s">
        <v>128</v>
      </c>
      <c r="K352" s="62" t="s">
        <v>129</v>
      </c>
      <c r="L352" s="72"/>
      <c r="M352" s="73"/>
      <c r="N352" s="52" t="b">
        <f t="shared" si="35"/>
        <v>0</v>
      </c>
      <c r="O352" s="52" t="b">
        <f t="shared" si="36"/>
        <v>0</v>
      </c>
      <c r="P352" s="52" t="b">
        <f t="shared" si="37"/>
        <v>0</v>
      </c>
      <c r="Q352" s="52" t="b">
        <f t="shared" si="38"/>
        <v>0</v>
      </c>
      <c r="R352" s="52" t="b">
        <f t="shared" si="39"/>
        <v>0</v>
      </c>
      <c r="S352" s="52" t="b">
        <f t="shared" si="40"/>
        <v>0</v>
      </c>
      <c r="T352" s="52" t="b">
        <f t="shared" si="41"/>
        <v>0</v>
      </c>
    </row>
    <row r="353" spans="3:20" x14ac:dyDescent="0.2">
      <c r="C353" s="36" t="s">
        <v>52</v>
      </c>
      <c r="D353" s="43"/>
      <c r="E353" s="44" t="s">
        <v>549</v>
      </c>
      <c r="F353" s="44" t="s">
        <v>57</v>
      </c>
      <c r="G353" s="44"/>
      <c r="H353" s="44"/>
      <c r="I353" s="44"/>
      <c r="J353" s="44"/>
      <c r="K353" s="44"/>
      <c r="L353" s="45"/>
      <c r="M353" s="45"/>
      <c r="N353" s="52">
        <f t="shared" si="35"/>
        <v>0</v>
      </c>
      <c r="O353" s="52" t="str">
        <f t="shared" si="36"/>
        <v>44.2 / 44.3</v>
      </c>
      <c r="P353" s="52" t="str">
        <f t="shared" si="37"/>
        <v>Расходы на реализацию в торговле / Управленческие расходы в торговле</v>
      </c>
      <c r="Q353" s="52">
        <f t="shared" si="38"/>
        <v>522</v>
      </c>
      <c r="R353" s="52" t="str">
        <f t="shared" si="39"/>
        <v>Развивающее обучение</v>
      </c>
      <c r="S353" s="52" t="str">
        <f t="shared" si="40"/>
        <v>Элементы затрат</v>
      </c>
      <c r="T353" s="52" t="str">
        <f t="shared" si="41"/>
        <v>Развивающее обучение</v>
      </c>
    </row>
    <row r="354" spans="3:20" ht="22.5" x14ac:dyDescent="0.2">
      <c r="C354" s="36" t="s">
        <v>1087</v>
      </c>
      <c r="D354" s="61" t="s">
        <v>125</v>
      </c>
      <c r="E354" s="61"/>
      <c r="F354" s="62" t="s">
        <v>126</v>
      </c>
      <c r="G354" s="62">
        <v>522</v>
      </c>
      <c r="H354" s="62" t="s">
        <v>549</v>
      </c>
      <c r="I354" s="62" t="s">
        <v>127</v>
      </c>
      <c r="J354" s="62" t="s">
        <v>128</v>
      </c>
      <c r="K354" s="62" t="s">
        <v>129</v>
      </c>
      <c r="L354" s="72"/>
      <c r="M354" s="73"/>
      <c r="N354" s="52" t="b">
        <f t="shared" si="35"/>
        <v>0</v>
      </c>
      <c r="O354" s="52" t="b">
        <f t="shared" si="36"/>
        <v>0</v>
      </c>
      <c r="P354" s="52" t="b">
        <f t="shared" si="37"/>
        <v>0</v>
      </c>
      <c r="Q354" s="52" t="b">
        <f t="shared" si="38"/>
        <v>0</v>
      </c>
      <c r="R354" s="52" t="b">
        <f t="shared" si="39"/>
        <v>0</v>
      </c>
      <c r="S354" s="52" t="b">
        <f t="shared" si="40"/>
        <v>0</v>
      </c>
      <c r="T354" s="52" t="b">
        <f t="shared" si="41"/>
        <v>0</v>
      </c>
    </row>
    <row r="355" spans="3:20" ht="22.5" x14ac:dyDescent="0.2">
      <c r="C355" s="36" t="s">
        <v>52</v>
      </c>
      <c r="D355" s="46" t="s">
        <v>550</v>
      </c>
      <c r="E355" s="47" t="s">
        <v>551</v>
      </c>
      <c r="F355" s="44" t="s">
        <v>552</v>
      </c>
      <c r="G355" s="47"/>
      <c r="H355" s="47"/>
      <c r="I355" s="47"/>
      <c r="J355" s="47"/>
      <c r="K355" s="47"/>
      <c r="L355" s="48"/>
      <c r="M355" s="48"/>
      <c r="N355" s="52" t="b">
        <f t="shared" si="35"/>
        <v>0</v>
      </c>
      <c r="O355" s="52" t="b">
        <f t="shared" si="36"/>
        <v>0</v>
      </c>
      <c r="P355" s="52" t="b">
        <f t="shared" si="37"/>
        <v>0</v>
      </c>
      <c r="Q355" s="52" t="b">
        <f t="shared" si="38"/>
        <v>0</v>
      </c>
      <c r="R355" s="52" t="b">
        <f t="shared" si="39"/>
        <v>0</v>
      </c>
      <c r="S355" s="52" t="b">
        <f t="shared" si="40"/>
        <v>0</v>
      </c>
      <c r="T355" s="52" t="b">
        <f t="shared" si="41"/>
        <v>0</v>
      </c>
    </row>
    <row r="356" spans="3:20" ht="22.5" x14ac:dyDescent="0.2">
      <c r="C356" s="36" t="s">
        <v>52</v>
      </c>
      <c r="D356" s="46" t="s">
        <v>553</v>
      </c>
      <c r="E356" s="47" t="s">
        <v>95</v>
      </c>
      <c r="F356" s="47"/>
      <c r="G356" s="47"/>
      <c r="H356" s="47"/>
      <c r="I356" s="47"/>
      <c r="J356" s="47"/>
      <c r="K356" s="47"/>
      <c r="L356" s="48"/>
      <c r="M356" s="48" t="s">
        <v>554</v>
      </c>
      <c r="N356" s="52" t="b">
        <f t="shared" si="35"/>
        <v>0</v>
      </c>
      <c r="O356" s="52" t="b">
        <f t="shared" si="36"/>
        <v>0</v>
      </c>
      <c r="P356" s="52" t="b">
        <f t="shared" si="37"/>
        <v>0</v>
      </c>
      <c r="Q356" s="52" t="b">
        <f t="shared" si="38"/>
        <v>0</v>
      </c>
      <c r="R356" s="52" t="b">
        <f t="shared" si="39"/>
        <v>0</v>
      </c>
      <c r="S356" s="52" t="b">
        <f t="shared" si="40"/>
        <v>0</v>
      </c>
      <c r="T356" s="52" t="b">
        <f t="shared" si="41"/>
        <v>0</v>
      </c>
    </row>
    <row r="357" spans="3:20" ht="22.5" x14ac:dyDescent="0.2">
      <c r="C357" s="36" t="s">
        <v>52</v>
      </c>
      <c r="D357" s="46" t="s">
        <v>555</v>
      </c>
      <c r="E357" s="47" t="s">
        <v>556</v>
      </c>
      <c r="F357" s="47"/>
      <c r="G357" s="47"/>
      <c r="H357" s="47"/>
      <c r="I357" s="47"/>
      <c r="J357" s="47"/>
      <c r="K357" s="47"/>
      <c r="L357" s="48"/>
      <c r="M357" s="48"/>
      <c r="N357" s="52" t="str">
        <f t="shared" si="35"/>
        <v>29.5.1.</v>
      </c>
      <c r="O357" s="52" t="str">
        <f t="shared" si="36"/>
        <v>44.2 / 44.3</v>
      </c>
      <c r="P357" s="52" t="str">
        <f t="shared" si="37"/>
        <v>Расходы на реализацию в торговле / Управленческие расходы в торговле</v>
      </c>
      <c r="Q357" s="52">
        <f t="shared" si="38"/>
        <v>501</v>
      </c>
      <c r="R357" s="52" t="str">
        <f t="shared" si="39"/>
        <v>Оплата доступа к базам резюме, покупка тарифных планов</v>
      </c>
      <c r="S357" s="52" t="str">
        <f t="shared" si="40"/>
        <v>Элементы затрат</v>
      </c>
      <c r="T357" s="52" t="str">
        <f t="shared" si="41"/>
        <v>Оплата доступа к базам резюме, покупка тарифных планов</v>
      </c>
    </row>
    <row r="358" spans="3:20" ht="22.5" x14ac:dyDescent="0.2">
      <c r="C358" s="36" t="s">
        <v>1087</v>
      </c>
      <c r="D358" s="61" t="s">
        <v>125</v>
      </c>
      <c r="E358" s="61"/>
      <c r="F358" s="62" t="s">
        <v>126</v>
      </c>
      <c r="G358" s="62">
        <v>501</v>
      </c>
      <c r="H358" s="62" t="s">
        <v>556</v>
      </c>
      <c r="I358" s="62" t="s">
        <v>127</v>
      </c>
      <c r="J358" s="62" t="s">
        <v>128</v>
      </c>
      <c r="K358" s="62" t="s">
        <v>129</v>
      </c>
      <c r="L358" s="72"/>
      <c r="M358" s="73"/>
      <c r="N358" s="52" t="b">
        <f t="shared" si="35"/>
        <v>0</v>
      </c>
      <c r="O358" s="52" t="b">
        <f t="shared" si="36"/>
        <v>0</v>
      </c>
      <c r="P358" s="52" t="b">
        <f t="shared" si="37"/>
        <v>0</v>
      </c>
      <c r="Q358" s="52" t="b">
        <f t="shared" si="38"/>
        <v>0</v>
      </c>
      <c r="R358" s="52" t="b">
        <f t="shared" si="39"/>
        <v>0</v>
      </c>
      <c r="S358" s="52" t="b">
        <f t="shared" si="40"/>
        <v>0</v>
      </c>
      <c r="T358" s="52" t="b">
        <f t="shared" si="41"/>
        <v>0</v>
      </c>
    </row>
    <row r="359" spans="3:20" ht="33.75" x14ac:dyDescent="0.2">
      <c r="C359" s="36" t="s">
        <v>52</v>
      </c>
      <c r="D359" s="46" t="s">
        <v>557</v>
      </c>
      <c r="E359" s="47" t="s">
        <v>558</v>
      </c>
      <c r="F359" s="47"/>
      <c r="G359" s="47"/>
      <c r="H359" s="47"/>
      <c r="I359" s="47"/>
      <c r="J359" s="47"/>
      <c r="K359" s="47"/>
      <c r="L359" s="48"/>
      <c r="M359" s="48"/>
      <c r="N359" s="52" t="str">
        <f t="shared" si="35"/>
        <v>29.5.2.</v>
      </c>
      <c r="O359" s="52" t="str">
        <f t="shared" si="36"/>
        <v>44.2 / 44.3</v>
      </c>
      <c r="P359" s="52" t="str">
        <f t="shared" si="37"/>
        <v>Расходы на реализацию в торговле / Управленческие расходы в торговле</v>
      </c>
      <c r="Q359" s="52">
        <f t="shared" si="38"/>
        <v>500</v>
      </c>
      <c r="R359" s="52" t="str">
        <f t="shared" si="39"/>
        <v>Размещение объявлений в СМИ, сети интернет,лифтах. Брендирование объявлений</v>
      </c>
      <c r="S359" s="52" t="str">
        <f t="shared" si="40"/>
        <v>Элементы затрат</v>
      </c>
      <c r="T359" s="52" t="str">
        <f t="shared" si="41"/>
        <v>Размещение объявлений в СМИ, сети интернет,лифтах. Брендирование объявлений</v>
      </c>
    </row>
    <row r="360" spans="3:20" ht="33.75" x14ac:dyDescent="0.2">
      <c r="C360" s="36" t="s">
        <v>1087</v>
      </c>
      <c r="D360" s="61" t="s">
        <v>125</v>
      </c>
      <c r="E360" s="61"/>
      <c r="F360" s="62" t="s">
        <v>126</v>
      </c>
      <c r="G360" s="62">
        <v>500</v>
      </c>
      <c r="H360" s="62" t="s">
        <v>558</v>
      </c>
      <c r="I360" s="62" t="s">
        <v>127</v>
      </c>
      <c r="J360" s="62" t="s">
        <v>128</v>
      </c>
      <c r="K360" s="62" t="s">
        <v>129</v>
      </c>
      <c r="L360" s="72"/>
      <c r="M360" s="73"/>
      <c r="N360" s="52" t="b">
        <f t="shared" si="35"/>
        <v>0</v>
      </c>
      <c r="O360" s="52" t="b">
        <f t="shared" si="36"/>
        <v>0</v>
      </c>
      <c r="P360" s="52" t="b">
        <f t="shared" si="37"/>
        <v>0</v>
      </c>
      <c r="Q360" s="52" t="b">
        <f t="shared" si="38"/>
        <v>0</v>
      </c>
      <c r="R360" s="52" t="b">
        <f t="shared" si="39"/>
        <v>0</v>
      </c>
      <c r="S360" s="52" t="b">
        <f t="shared" si="40"/>
        <v>0</v>
      </c>
      <c r="T360" s="52" t="b">
        <f t="shared" si="41"/>
        <v>0</v>
      </c>
    </row>
    <row r="361" spans="3:20" ht="33.75" x14ac:dyDescent="0.2">
      <c r="C361" s="36" t="s">
        <v>52</v>
      </c>
      <c r="D361" s="43"/>
      <c r="E361" s="44" t="s">
        <v>559</v>
      </c>
      <c r="F361" s="44" t="s">
        <v>57</v>
      </c>
      <c r="G361" s="44"/>
      <c r="H361" s="44"/>
      <c r="I361" s="44"/>
      <c r="J361" s="44"/>
      <c r="K361" s="44"/>
      <c r="L361" s="45"/>
      <c r="M361" s="45"/>
      <c r="N361" s="52">
        <f t="shared" si="35"/>
        <v>0</v>
      </c>
      <c r="O361" s="52" t="str">
        <f t="shared" si="36"/>
        <v>44.2 / 44.3</v>
      </c>
      <c r="P361" s="52" t="str">
        <f t="shared" si="37"/>
        <v>Расходы на реализацию в торговле / Управленческие расходы в торговле</v>
      </c>
      <c r="Q361" s="52">
        <f t="shared" si="38"/>
        <v>503</v>
      </c>
      <c r="R361" s="52" t="str">
        <f t="shared" si="39"/>
        <v>Оплата услуг по проведению тестирования при приеме наработу</v>
      </c>
      <c r="S361" s="52" t="str">
        <f t="shared" si="40"/>
        <v>Элементы затрат</v>
      </c>
      <c r="T361" s="52" t="str">
        <f t="shared" si="41"/>
        <v>Оплата услуг по проведению тестирования при приеме наработу</v>
      </c>
    </row>
    <row r="362" spans="3:20" ht="22.5" x14ac:dyDescent="0.2">
      <c r="C362" s="36" t="s">
        <v>1087</v>
      </c>
      <c r="D362" s="61" t="s">
        <v>125</v>
      </c>
      <c r="E362" s="61"/>
      <c r="F362" s="62" t="s">
        <v>126</v>
      </c>
      <c r="G362" s="62">
        <v>503</v>
      </c>
      <c r="H362" s="62" t="s">
        <v>559</v>
      </c>
      <c r="I362" s="62" t="s">
        <v>127</v>
      </c>
      <c r="J362" s="62" t="s">
        <v>128</v>
      </c>
      <c r="K362" s="62" t="s">
        <v>129</v>
      </c>
      <c r="L362" s="72"/>
      <c r="M362" s="73"/>
      <c r="N362" s="52" t="b">
        <f t="shared" si="35"/>
        <v>0</v>
      </c>
      <c r="O362" s="52" t="b">
        <f t="shared" si="36"/>
        <v>0</v>
      </c>
      <c r="P362" s="52" t="b">
        <f t="shared" si="37"/>
        <v>0</v>
      </c>
      <c r="Q362" s="52" t="b">
        <f t="shared" si="38"/>
        <v>0</v>
      </c>
      <c r="R362" s="52" t="b">
        <f t="shared" si="39"/>
        <v>0</v>
      </c>
      <c r="S362" s="52" t="b">
        <f t="shared" si="40"/>
        <v>0</v>
      </c>
      <c r="T362" s="52" t="b">
        <f t="shared" si="41"/>
        <v>0</v>
      </c>
    </row>
    <row r="363" spans="3:20" ht="22.5" x14ac:dyDescent="0.2">
      <c r="C363" s="36" t="s">
        <v>52</v>
      </c>
      <c r="D363" s="43"/>
      <c r="E363" s="44" t="s">
        <v>560</v>
      </c>
      <c r="F363" s="44" t="s">
        <v>57</v>
      </c>
      <c r="G363" s="44"/>
      <c r="H363" s="44"/>
      <c r="I363" s="44"/>
      <c r="J363" s="44"/>
      <c r="K363" s="44"/>
      <c r="L363" s="45"/>
      <c r="M363" s="45"/>
      <c r="N363" s="52">
        <f t="shared" si="35"/>
        <v>0</v>
      </c>
      <c r="O363" s="52" t="str">
        <f t="shared" si="36"/>
        <v>44.2 / 44.3</v>
      </c>
      <c r="P363" s="52" t="str">
        <f t="shared" si="37"/>
        <v>Расходы на реализацию в торговле / Управленческие расходы в торговле</v>
      </c>
      <c r="Q363" s="52">
        <f t="shared" si="38"/>
        <v>504</v>
      </c>
      <c r="R363" s="52" t="str">
        <f t="shared" si="39"/>
        <v>Участие в ярмарках вакансий (оплата участия, закупка стендов)</v>
      </c>
      <c r="S363" s="52" t="str">
        <f t="shared" si="40"/>
        <v>Элементы затрат</v>
      </c>
      <c r="T363" s="52" t="str">
        <f t="shared" si="41"/>
        <v>Участие в ярмарках вакансий (оплата участия, закупка стендов)</v>
      </c>
    </row>
    <row r="364" spans="3:20" ht="22.5" x14ac:dyDescent="0.2">
      <c r="C364" s="36" t="s">
        <v>1087</v>
      </c>
      <c r="D364" s="61" t="s">
        <v>125</v>
      </c>
      <c r="E364" s="61"/>
      <c r="F364" s="62" t="s">
        <v>126</v>
      </c>
      <c r="G364" s="62">
        <v>504</v>
      </c>
      <c r="H364" s="62" t="s">
        <v>560</v>
      </c>
      <c r="I364" s="62" t="s">
        <v>127</v>
      </c>
      <c r="J364" s="62" t="s">
        <v>128</v>
      </c>
      <c r="K364" s="62" t="s">
        <v>129</v>
      </c>
      <c r="L364" s="72"/>
      <c r="M364" s="73"/>
      <c r="N364" s="52" t="b">
        <f t="shared" si="35"/>
        <v>0</v>
      </c>
      <c r="O364" s="52" t="b">
        <f t="shared" si="36"/>
        <v>0</v>
      </c>
      <c r="P364" s="52" t="b">
        <f t="shared" si="37"/>
        <v>0</v>
      </c>
      <c r="Q364" s="52" t="b">
        <f t="shared" si="38"/>
        <v>0</v>
      </c>
      <c r="R364" s="52" t="b">
        <f t="shared" si="39"/>
        <v>0</v>
      </c>
      <c r="S364" s="52" t="b">
        <f t="shared" si="40"/>
        <v>0</v>
      </c>
      <c r="T364" s="52" t="b">
        <f t="shared" si="41"/>
        <v>0</v>
      </c>
    </row>
    <row r="365" spans="3:20" ht="22.5" x14ac:dyDescent="0.2">
      <c r="C365" s="36" t="s">
        <v>52</v>
      </c>
      <c r="D365" s="43"/>
      <c r="E365" s="44" t="s">
        <v>561</v>
      </c>
      <c r="F365" s="44" t="s">
        <v>57</v>
      </c>
      <c r="G365" s="44"/>
      <c r="H365" s="44"/>
      <c r="I365" s="44"/>
      <c r="J365" s="44"/>
      <c r="K365" s="44"/>
      <c r="L365" s="45"/>
      <c r="M365" s="45"/>
      <c r="N365" s="52">
        <f t="shared" si="35"/>
        <v>0</v>
      </c>
      <c r="O365" s="52" t="str">
        <f t="shared" si="36"/>
        <v>90.10.1 / 90.10.11</v>
      </c>
      <c r="P365" s="52" t="str">
        <f t="shared" si="37"/>
        <v>Прочие расходы по текущей деятельности / -||- (по местам хранения)</v>
      </c>
      <c r="Q365" s="52">
        <f t="shared" si="38"/>
        <v>137</v>
      </c>
      <c r="R365" s="52" t="str">
        <f t="shared" si="39"/>
        <v>Расходы на идеологическую работу</v>
      </c>
      <c r="S365" s="52" t="str">
        <f t="shared" si="40"/>
        <v>Виды прочих расходов</v>
      </c>
      <c r="T365" s="52" t="str">
        <f t="shared" si="41"/>
        <v>Расходы на идеологическую работу</v>
      </c>
    </row>
    <row r="366" spans="3:20" ht="33.75" x14ac:dyDescent="0.2">
      <c r="C366" s="36" t="s">
        <v>1087</v>
      </c>
      <c r="D366" s="62" t="s">
        <v>132</v>
      </c>
      <c r="E366" s="62"/>
      <c r="F366" s="62" t="s">
        <v>133</v>
      </c>
      <c r="G366" s="62">
        <v>137</v>
      </c>
      <c r="H366" s="62" t="s">
        <v>561</v>
      </c>
      <c r="I366" s="62" t="s">
        <v>134</v>
      </c>
      <c r="J366" s="62" t="s">
        <v>135</v>
      </c>
      <c r="K366" s="62" t="s">
        <v>129</v>
      </c>
      <c r="L366" s="72"/>
      <c r="M366" s="73"/>
      <c r="N366" s="52" t="b">
        <f t="shared" si="35"/>
        <v>0</v>
      </c>
      <c r="O366" s="52" t="b">
        <f t="shared" si="36"/>
        <v>0</v>
      </c>
      <c r="P366" s="52" t="b">
        <f t="shared" si="37"/>
        <v>0</v>
      </c>
      <c r="Q366" s="52" t="b">
        <f t="shared" si="38"/>
        <v>0</v>
      </c>
      <c r="R366" s="52" t="b">
        <f t="shared" si="39"/>
        <v>0</v>
      </c>
      <c r="S366" s="52" t="b">
        <f t="shared" si="40"/>
        <v>0</v>
      </c>
      <c r="T366" s="52" t="b">
        <f t="shared" si="41"/>
        <v>0</v>
      </c>
    </row>
    <row r="367" spans="3:20" ht="22.5" hidden="1" x14ac:dyDescent="0.2">
      <c r="C367" s="35"/>
      <c r="D367" s="35" t="s">
        <v>98</v>
      </c>
      <c r="E367" s="35" t="s">
        <v>99</v>
      </c>
      <c r="F367" s="35" t="s">
        <v>100</v>
      </c>
      <c r="G367" s="35" t="s">
        <v>101</v>
      </c>
      <c r="H367" s="35" t="s">
        <v>102</v>
      </c>
      <c r="I367" s="35" t="s">
        <v>103</v>
      </c>
      <c r="J367" s="35" t="s">
        <v>104</v>
      </c>
      <c r="K367" s="35" t="s">
        <v>105</v>
      </c>
      <c r="L367" s="35" t="s">
        <v>106</v>
      </c>
      <c r="M367" s="35" t="s">
        <v>107</v>
      </c>
      <c r="N367" s="52" t="b">
        <f t="shared" si="35"/>
        <v>0</v>
      </c>
      <c r="O367" s="52" t="b">
        <f t="shared" si="36"/>
        <v>0</v>
      </c>
      <c r="P367" s="52" t="b">
        <f t="shared" si="37"/>
        <v>0</v>
      </c>
      <c r="Q367" s="52" t="b">
        <f t="shared" si="38"/>
        <v>0</v>
      </c>
      <c r="R367" s="52" t="b">
        <f t="shared" si="39"/>
        <v>0</v>
      </c>
      <c r="S367" s="52" t="b">
        <f t="shared" si="40"/>
        <v>0</v>
      </c>
      <c r="T367" s="52" t="b">
        <f t="shared" si="41"/>
        <v>0</v>
      </c>
    </row>
    <row r="368" spans="3:20" x14ac:dyDescent="0.2">
      <c r="C368" s="36" t="s">
        <v>52</v>
      </c>
      <c r="D368" s="37">
        <v>30</v>
      </c>
      <c r="E368" s="38" t="s">
        <v>562</v>
      </c>
      <c r="F368" s="38"/>
      <c r="G368" s="38"/>
      <c r="H368" s="38"/>
      <c r="I368" s="38"/>
      <c r="J368" s="38"/>
      <c r="K368" s="38"/>
      <c r="L368" s="39"/>
      <c r="M368" s="39"/>
      <c r="N368" s="52" t="b">
        <f t="shared" si="35"/>
        <v>0</v>
      </c>
      <c r="O368" s="52" t="b">
        <f t="shared" si="36"/>
        <v>0</v>
      </c>
      <c r="P368" s="52" t="b">
        <f t="shared" si="37"/>
        <v>0</v>
      </c>
      <c r="Q368" s="52" t="b">
        <f t="shared" si="38"/>
        <v>0</v>
      </c>
      <c r="R368" s="52" t="b">
        <f t="shared" si="39"/>
        <v>0</v>
      </c>
      <c r="S368" s="52" t="b">
        <f t="shared" si="40"/>
        <v>0</v>
      </c>
      <c r="T368" s="52" t="b">
        <f t="shared" si="41"/>
        <v>0</v>
      </c>
    </row>
    <row r="369" spans="3:20" x14ac:dyDescent="0.2">
      <c r="C369" s="36" t="s">
        <v>52</v>
      </c>
      <c r="D369" s="46"/>
      <c r="E369" s="47" t="s">
        <v>19</v>
      </c>
      <c r="F369" s="47"/>
      <c r="G369" s="47"/>
      <c r="H369" s="47"/>
      <c r="I369" s="47"/>
      <c r="J369" s="47"/>
      <c r="K369" s="47"/>
      <c r="L369" s="48"/>
      <c r="M369" s="48" t="s">
        <v>563</v>
      </c>
      <c r="N369" s="52" t="b">
        <f t="shared" si="35"/>
        <v>0</v>
      </c>
      <c r="O369" s="52" t="b">
        <f t="shared" si="36"/>
        <v>0</v>
      </c>
      <c r="P369" s="52" t="b">
        <f t="shared" si="37"/>
        <v>0</v>
      </c>
      <c r="Q369" s="52" t="b">
        <f t="shared" si="38"/>
        <v>0</v>
      </c>
      <c r="R369" s="52" t="b">
        <f t="shared" si="39"/>
        <v>0</v>
      </c>
      <c r="S369" s="52" t="b">
        <f t="shared" si="40"/>
        <v>0</v>
      </c>
      <c r="T369" s="52" t="b">
        <f t="shared" si="41"/>
        <v>0</v>
      </c>
    </row>
    <row r="370" spans="3:20" x14ac:dyDescent="0.2">
      <c r="C370" s="36" t="s">
        <v>52</v>
      </c>
      <c r="D370" s="46"/>
      <c r="E370" s="47" t="s">
        <v>112</v>
      </c>
      <c r="F370" s="47"/>
      <c r="G370" s="47"/>
      <c r="H370" s="47"/>
      <c r="I370" s="47"/>
      <c r="J370" s="47"/>
      <c r="K370" s="47"/>
      <c r="L370" s="48"/>
      <c r="M370" s="48" t="s">
        <v>564</v>
      </c>
      <c r="N370" s="52" t="b">
        <f t="shared" si="35"/>
        <v>0</v>
      </c>
      <c r="O370" s="52" t="b">
        <f t="shared" si="36"/>
        <v>0</v>
      </c>
      <c r="P370" s="52" t="b">
        <f t="shared" si="37"/>
        <v>0</v>
      </c>
      <c r="Q370" s="52" t="b">
        <f t="shared" si="38"/>
        <v>0</v>
      </c>
      <c r="R370" s="52" t="b">
        <f t="shared" si="39"/>
        <v>0</v>
      </c>
      <c r="S370" s="52" t="b">
        <f t="shared" si="40"/>
        <v>0</v>
      </c>
      <c r="T370" s="52" t="b">
        <f t="shared" si="41"/>
        <v>0</v>
      </c>
    </row>
    <row r="371" spans="3:20" ht="33.75" x14ac:dyDescent="0.2">
      <c r="C371" s="36" t="s">
        <v>52</v>
      </c>
      <c r="D371" s="46" t="s">
        <v>565</v>
      </c>
      <c r="E371" s="47" t="s">
        <v>566</v>
      </c>
      <c r="F371" s="47"/>
      <c r="G371" s="47"/>
      <c r="H371" s="47"/>
      <c r="I371" s="47"/>
      <c r="J371" s="47"/>
      <c r="K371" s="47"/>
      <c r="L371" s="48"/>
      <c r="M371" s="48" t="s">
        <v>567</v>
      </c>
      <c r="N371" s="52" t="b">
        <f t="shared" si="35"/>
        <v>0</v>
      </c>
      <c r="O371" s="52" t="b">
        <f t="shared" si="36"/>
        <v>0</v>
      </c>
      <c r="P371" s="52" t="b">
        <f t="shared" si="37"/>
        <v>0</v>
      </c>
      <c r="Q371" s="52" t="b">
        <f t="shared" si="38"/>
        <v>0</v>
      </c>
      <c r="R371" s="52" t="b">
        <f t="shared" si="39"/>
        <v>0</v>
      </c>
      <c r="S371" s="52" t="b">
        <f t="shared" si="40"/>
        <v>0</v>
      </c>
      <c r="T371" s="52" t="b">
        <f t="shared" si="41"/>
        <v>0</v>
      </c>
    </row>
    <row r="372" spans="3:20" x14ac:dyDescent="0.2">
      <c r="C372" s="36" t="s">
        <v>52</v>
      </c>
      <c r="D372" s="46" t="s">
        <v>568</v>
      </c>
      <c r="E372" s="47" t="s">
        <v>569</v>
      </c>
      <c r="F372" s="47"/>
      <c r="G372" s="47"/>
      <c r="H372" s="47"/>
      <c r="I372" s="47"/>
      <c r="J372" s="47"/>
      <c r="K372" s="47"/>
      <c r="L372" s="48"/>
      <c r="M372" s="48"/>
      <c r="N372" s="52" t="str">
        <f t="shared" si="35"/>
        <v>30.1.1.</v>
      </c>
      <c r="O372" s="52" t="str">
        <f t="shared" si="36"/>
        <v>44.2 / 44.3</v>
      </c>
      <c r="P372" s="52" t="str">
        <f t="shared" si="37"/>
        <v>Расходы на реализацию в торговле / Управленческие расходы в торговле</v>
      </c>
      <c r="Q372" s="52">
        <f t="shared" si="38"/>
        <v>79</v>
      </c>
      <c r="R372" s="52" t="str">
        <f t="shared" si="39"/>
        <v>Охрана объектов</v>
      </c>
      <c r="S372" s="52" t="str">
        <f t="shared" si="40"/>
        <v>Элементы затрат</v>
      </c>
      <c r="T372" s="52" t="str">
        <f t="shared" si="41"/>
        <v>Охрана объектов</v>
      </c>
    </row>
    <row r="373" spans="3:20" ht="22.5" x14ac:dyDescent="0.2">
      <c r="C373" s="36" t="s">
        <v>1087</v>
      </c>
      <c r="D373" s="61" t="s">
        <v>125</v>
      </c>
      <c r="E373" s="61"/>
      <c r="F373" s="62" t="s">
        <v>126</v>
      </c>
      <c r="G373" s="62">
        <v>79</v>
      </c>
      <c r="H373" s="62" t="s">
        <v>569</v>
      </c>
      <c r="I373" s="62" t="s">
        <v>127</v>
      </c>
      <c r="J373" s="62" t="s">
        <v>128</v>
      </c>
      <c r="K373" s="62" t="s">
        <v>129</v>
      </c>
      <c r="L373" s="72"/>
      <c r="M373" s="73"/>
      <c r="N373" s="52" t="b">
        <f t="shared" si="35"/>
        <v>0</v>
      </c>
      <c r="O373" s="52" t="b">
        <f t="shared" si="36"/>
        <v>0</v>
      </c>
      <c r="P373" s="52" t="b">
        <f t="shared" si="37"/>
        <v>0</v>
      </c>
      <c r="Q373" s="52" t="b">
        <f t="shared" si="38"/>
        <v>0</v>
      </c>
      <c r="R373" s="52" t="b">
        <f t="shared" si="39"/>
        <v>0</v>
      </c>
      <c r="S373" s="52" t="b">
        <f t="shared" si="40"/>
        <v>0</v>
      </c>
      <c r="T373" s="52" t="b">
        <f t="shared" si="41"/>
        <v>0</v>
      </c>
    </row>
    <row r="374" spans="3:20" x14ac:dyDescent="0.2">
      <c r="C374" s="36" t="s">
        <v>52</v>
      </c>
      <c r="D374" s="46" t="s">
        <v>570</v>
      </c>
      <c r="E374" s="47" t="s">
        <v>571</v>
      </c>
      <c r="F374" s="47"/>
      <c r="G374" s="47"/>
      <c r="H374" s="47"/>
      <c r="I374" s="47"/>
      <c r="J374" s="47"/>
      <c r="K374" s="47"/>
      <c r="L374" s="48"/>
      <c r="M374" s="48"/>
      <c r="N374" s="52" t="str">
        <f t="shared" si="35"/>
        <v>30.1.2.</v>
      </c>
      <c r="O374" s="52" t="str">
        <f t="shared" si="36"/>
        <v>44.2 / 44.3</v>
      </c>
      <c r="P374" s="52" t="str">
        <f t="shared" si="37"/>
        <v>Расходы на реализацию в торговле / Управленческие расходы в торговле</v>
      </c>
      <c r="Q374" s="52">
        <f t="shared" si="38"/>
        <v>81</v>
      </c>
      <c r="R374" s="52" t="str">
        <f t="shared" si="39"/>
        <v>Противопожарная безопасность</v>
      </c>
      <c r="S374" s="52" t="str">
        <f t="shared" si="40"/>
        <v>Элементы затрат</v>
      </c>
      <c r="T374" s="52" t="str">
        <f t="shared" si="41"/>
        <v>Противопожарная безопасность</v>
      </c>
    </row>
    <row r="375" spans="3:20" ht="22.5" x14ac:dyDescent="0.2">
      <c r="C375" s="36" t="s">
        <v>1087</v>
      </c>
      <c r="D375" s="61" t="s">
        <v>125</v>
      </c>
      <c r="E375" s="61"/>
      <c r="F375" s="62" t="s">
        <v>126</v>
      </c>
      <c r="G375" s="62">
        <v>81</v>
      </c>
      <c r="H375" s="62" t="s">
        <v>571</v>
      </c>
      <c r="I375" s="62" t="s">
        <v>127</v>
      </c>
      <c r="J375" s="62" t="s">
        <v>128</v>
      </c>
      <c r="K375" s="62" t="s">
        <v>129</v>
      </c>
      <c r="L375" s="72"/>
      <c r="M375" s="73"/>
      <c r="N375" s="52" t="b">
        <f t="shared" si="35"/>
        <v>0</v>
      </c>
      <c r="O375" s="52" t="b">
        <f t="shared" si="36"/>
        <v>0</v>
      </c>
      <c r="P375" s="52" t="b">
        <f t="shared" si="37"/>
        <v>0</v>
      </c>
      <c r="Q375" s="52" t="b">
        <f t="shared" si="38"/>
        <v>0</v>
      </c>
      <c r="R375" s="52" t="b">
        <f t="shared" si="39"/>
        <v>0</v>
      </c>
      <c r="S375" s="52" t="b">
        <f t="shared" si="40"/>
        <v>0</v>
      </c>
      <c r="T375" s="52" t="b">
        <f t="shared" si="41"/>
        <v>0</v>
      </c>
    </row>
    <row r="376" spans="3:20" x14ac:dyDescent="0.2">
      <c r="C376" s="36" t="s">
        <v>52</v>
      </c>
      <c r="D376" s="46" t="s">
        <v>572</v>
      </c>
      <c r="E376" s="47" t="s">
        <v>573</v>
      </c>
      <c r="F376" s="47" t="s">
        <v>67</v>
      </c>
      <c r="G376" s="47"/>
      <c r="H376" s="47"/>
      <c r="I376" s="47"/>
      <c r="J376" s="47"/>
      <c r="K376" s="47"/>
      <c r="L376" s="48"/>
      <c r="M376" s="48" t="s">
        <v>574</v>
      </c>
      <c r="N376" s="52" t="str">
        <f t="shared" si="35"/>
        <v>30.2.</v>
      </c>
      <c r="O376" s="52" t="str">
        <f t="shared" si="36"/>
        <v>44.2 / 44.3</v>
      </c>
      <c r="P376" s="52" t="str">
        <f t="shared" si="37"/>
        <v>Расходы на реализацию в торговле / Управленческие расходы в торговле</v>
      </c>
      <c r="Q376" s="52">
        <f t="shared" si="38"/>
        <v>89</v>
      </c>
      <c r="R376" s="52" t="str">
        <f t="shared" si="39"/>
        <v>Услуги почты</v>
      </c>
      <c r="S376" s="52" t="str">
        <f t="shared" si="40"/>
        <v>Элементы затрат</v>
      </c>
      <c r="T376" s="52" t="str">
        <f t="shared" si="41"/>
        <v>Услуги почты</v>
      </c>
    </row>
    <row r="377" spans="3:20" ht="22.5" x14ac:dyDescent="0.2">
      <c r="C377" s="36" t="s">
        <v>1087</v>
      </c>
      <c r="D377" s="61" t="s">
        <v>125</v>
      </c>
      <c r="E377" s="61"/>
      <c r="F377" s="62" t="s">
        <v>126</v>
      </c>
      <c r="G377" s="62">
        <v>89</v>
      </c>
      <c r="H377" s="62" t="s">
        <v>573</v>
      </c>
      <c r="I377" s="62" t="s">
        <v>127</v>
      </c>
      <c r="J377" s="62" t="s">
        <v>128</v>
      </c>
      <c r="K377" s="62" t="s">
        <v>129</v>
      </c>
      <c r="L377" s="72"/>
      <c r="M377" s="73"/>
      <c r="N377" s="52" t="b">
        <f t="shared" si="35"/>
        <v>0</v>
      </c>
      <c r="O377" s="52" t="b">
        <f t="shared" si="36"/>
        <v>0</v>
      </c>
      <c r="P377" s="52" t="b">
        <f t="shared" si="37"/>
        <v>0</v>
      </c>
      <c r="Q377" s="52" t="b">
        <f t="shared" si="38"/>
        <v>0</v>
      </c>
      <c r="R377" s="52" t="b">
        <f t="shared" si="39"/>
        <v>0</v>
      </c>
      <c r="S377" s="52" t="b">
        <f t="shared" si="40"/>
        <v>0</v>
      </c>
      <c r="T377" s="52" t="b">
        <f t="shared" si="41"/>
        <v>0</v>
      </c>
    </row>
    <row r="378" spans="3:20" x14ac:dyDescent="0.2">
      <c r="C378" s="36" t="s">
        <v>52</v>
      </c>
      <c r="D378" s="46" t="s">
        <v>575</v>
      </c>
      <c r="E378" s="47" t="s">
        <v>576</v>
      </c>
      <c r="F378" s="47" t="s">
        <v>67</v>
      </c>
      <c r="G378" s="47"/>
      <c r="H378" s="47"/>
      <c r="I378" s="47"/>
      <c r="J378" s="47"/>
      <c r="K378" s="47"/>
      <c r="L378" s="48"/>
      <c r="M378" s="48" t="s">
        <v>577</v>
      </c>
      <c r="N378" s="52" t="b">
        <f t="shared" si="35"/>
        <v>0</v>
      </c>
      <c r="O378" s="52" t="b">
        <f t="shared" si="36"/>
        <v>0</v>
      </c>
      <c r="P378" s="52" t="b">
        <f t="shared" si="37"/>
        <v>0</v>
      </c>
      <c r="Q378" s="52" t="b">
        <f t="shared" si="38"/>
        <v>0</v>
      </c>
      <c r="R378" s="52" t="b">
        <f t="shared" si="39"/>
        <v>0</v>
      </c>
      <c r="S378" s="52" t="b">
        <f t="shared" si="40"/>
        <v>0</v>
      </c>
      <c r="T378" s="52" t="b">
        <f t="shared" si="41"/>
        <v>0</v>
      </c>
    </row>
    <row r="379" spans="3:20" x14ac:dyDescent="0.2">
      <c r="C379" s="36" t="s">
        <v>52</v>
      </c>
      <c r="D379" s="46" t="s">
        <v>578</v>
      </c>
      <c r="E379" s="47" t="s">
        <v>579</v>
      </c>
      <c r="F379" s="47"/>
      <c r="G379" s="47"/>
      <c r="H379" s="47"/>
      <c r="I379" s="47"/>
      <c r="J379" s="47"/>
      <c r="K379" s="47"/>
      <c r="L379" s="48"/>
      <c r="M379" s="48"/>
      <c r="N379" s="52" t="str">
        <f t="shared" si="35"/>
        <v>30.3.1.</v>
      </c>
      <c r="O379" s="52" t="str">
        <f t="shared" si="36"/>
        <v>44.2 / 44.3</v>
      </c>
      <c r="P379" s="52" t="str">
        <f t="shared" si="37"/>
        <v>Расходы на реализацию в торговле / Управленческие расходы в торговле</v>
      </c>
      <c r="Q379" s="52">
        <f t="shared" si="38"/>
        <v>77</v>
      </c>
      <c r="R379" s="52" t="str">
        <f t="shared" si="39"/>
        <v>Медосмотр</v>
      </c>
      <c r="S379" s="52" t="str">
        <f t="shared" si="40"/>
        <v>Элементы затрат</v>
      </c>
      <c r="T379" s="52" t="str">
        <f t="shared" si="41"/>
        <v>Медосмотр</v>
      </c>
    </row>
    <row r="380" spans="3:20" ht="22.5" x14ac:dyDescent="0.2">
      <c r="C380" s="36" t="s">
        <v>1087</v>
      </c>
      <c r="D380" s="61" t="s">
        <v>125</v>
      </c>
      <c r="E380" s="61"/>
      <c r="F380" s="62" t="s">
        <v>126</v>
      </c>
      <c r="G380" s="62">
        <v>77</v>
      </c>
      <c r="H380" s="62" t="s">
        <v>579</v>
      </c>
      <c r="I380" s="62" t="s">
        <v>127</v>
      </c>
      <c r="J380" s="62" t="s">
        <v>128</v>
      </c>
      <c r="K380" s="62" t="s">
        <v>129</v>
      </c>
      <c r="L380" s="72"/>
      <c r="M380" s="73"/>
      <c r="N380" s="52" t="b">
        <f t="shared" si="35"/>
        <v>0</v>
      </c>
      <c r="O380" s="52" t="b">
        <f t="shared" si="36"/>
        <v>0</v>
      </c>
      <c r="P380" s="52" t="b">
        <f t="shared" si="37"/>
        <v>0</v>
      </c>
      <c r="Q380" s="52" t="b">
        <f t="shared" si="38"/>
        <v>0</v>
      </c>
      <c r="R380" s="52" t="b">
        <f t="shared" si="39"/>
        <v>0</v>
      </c>
      <c r="S380" s="52" t="b">
        <f t="shared" si="40"/>
        <v>0</v>
      </c>
      <c r="T380" s="52" t="b">
        <f t="shared" si="41"/>
        <v>0</v>
      </c>
    </row>
    <row r="381" spans="3:20" x14ac:dyDescent="0.2">
      <c r="C381" s="36" t="s">
        <v>52</v>
      </c>
      <c r="D381" s="46" t="s">
        <v>580</v>
      </c>
      <c r="E381" s="47" t="s">
        <v>581</v>
      </c>
      <c r="F381" s="47"/>
      <c r="G381" s="47"/>
      <c r="H381" s="47"/>
      <c r="I381" s="47"/>
      <c r="J381" s="47"/>
      <c r="K381" s="47"/>
      <c r="L381" s="48"/>
      <c r="M381" s="48"/>
      <c r="N381" s="52" t="str">
        <f t="shared" si="35"/>
        <v>30.3.2.</v>
      </c>
      <c r="O381" s="52" t="str">
        <f t="shared" si="36"/>
        <v>44.2 / 44.3</v>
      </c>
      <c r="P381" s="52" t="str">
        <f t="shared" si="37"/>
        <v>Расходы на реализацию в торговле / Управленческие расходы в торговле</v>
      </c>
      <c r="Q381" s="52">
        <f t="shared" si="38"/>
        <v>222</v>
      </c>
      <c r="R381" s="52" t="str">
        <f t="shared" si="39"/>
        <v>Страхование прочее</v>
      </c>
      <c r="S381" s="52" t="str">
        <f t="shared" si="40"/>
        <v>Элементы затрат</v>
      </c>
      <c r="T381" s="52" t="str">
        <f t="shared" si="41"/>
        <v>Страхование прочее</v>
      </c>
    </row>
    <row r="382" spans="3:20" ht="22.5" x14ac:dyDescent="0.2">
      <c r="C382" s="36" t="s">
        <v>1087</v>
      </c>
      <c r="D382" s="61" t="s">
        <v>125</v>
      </c>
      <c r="E382" s="61"/>
      <c r="F382" s="62" t="s">
        <v>126</v>
      </c>
      <c r="G382" s="62">
        <v>222</v>
      </c>
      <c r="H382" s="62" t="s">
        <v>581</v>
      </c>
      <c r="I382" s="62" t="s">
        <v>127</v>
      </c>
      <c r="J382" s="62" t="s">
        <v>128</v>
      </c>
      <c r="K382" s="62" t="s">
        <v>129</v>
      </c>
      <c r="L382" s="72"/>
      <c r="M382" s="73"/>
      <c r="N382" s="52" t="b">
        <f t="shared" si="35"/>
        <v>0</v>
      </c>
      <c r="O382" s="52" t="b">
        <f t="shared" si="36"/>
        <v>0</v>
      </c>
      <c r="P382" s="52" t="b">
        <f t="shared" si="37"/>
        <v>0</v>
      </c>
      <c r="Q382" s="52" t="b">
        <f t="shared" si="38"/>
        <v>0</v>
      </c>
      <c r="R382" s="52" t="b">
        <f t="shared" si="39"/>
        <v>0</v>
      </c>
      <c r="S382" s="52" t="b">
        <f t="shared" si="40"/>
        <v>0</v>
      </c>
      <c r="T382" s="52" t="b">
        <f t="shared" si="41"/>
        <v>0</v>
      </c>
    </row>
    <row r="383" spans="3:20" x14ac:dyDescent="0.2">
      <c r="C383" s="36" t="s">
        <v>52</v>
      </c>
      <c r="D383" s="43"/>
      <c r="E383" s="44" t="s">
        <v>582</v>
      </c>
      <c r="F383" s="44" t="s">
        <v>57</v>
      </c>
      <c r="G383" s="44"/>
      <c r="H383" s="44"/>
      <c r="I383" s="44"/>
      <c r="J383" s="44"/>
      <c r="K383" s="44"/>
      <c r="L383" s="45"/>
      <c r="M383" s="45"/>
      <c r="N383" s="52">
        <f t="shared" si="35"/>
        <v>0</v>
      </c>
      <c r="O383" s="52" t="str">
        <f t="shared" si="36"/>
        <v>44.2 / 44.3</v>
      </c>
      <c r="P383" s="52" t="str">
        <f t="shared" si="37"/>
        <v>Расходы на реализацию в торговле / Управленческие расходы в торговле</v>
      </c>
      <c r="Q383" s="52">
        <f t="shared" si="38"/>
        <v>215</v>
      </c>
      <c r="R383" s="52" t="str">
        <f t="shared" si="39"/>
        <v>Страхование</v>
      </c>
      <c r="S383" s="52" t="str">
        <f t="shared" si="40"/>
        <v>Элементы затрат</v>
      </c>
      <c r="T383" s="52" t="str">
        <f t="shared" si="41"/>
        <v>Страхование</v>
      </c>
    </row>
    <row r="384" spans="3:20" ht="22.5" x14ac:dyDescent="0.2">
      <c r="C384" s="36" t="s">
        <v>1087</v>
      </c>
      <c r="D384" s="61" t="s">
        <v>125</v>
      </c>
      <c r="E384" s="61"/>
      <c r="F384" s="62" t="s">
        <v>126</v>
      </c>
      <c r="G384" s="62">
        <v>215</v>
      </c>
      <c r="H384" s="62" t="s">
        <v>582</v>
      </c>
      <c r="I384" s="62" t="s">
        <v>127</v>
      </c>
      <c r="J384" s="62" t="s">
        <v>128</v>
      </c>
      <c r="K384" s="62" t="s">
        <v>129</v>
      </c>
      <c r="L384" s="72"/>
      <c r="M384" s="73"/>
      <c r="N384" s="52" t="b">
        <f t="shared" si="35"/>
        <v>0</v>
      </c>
      <c r="O384" s="52" t="b">
        <f t="shared" si="36"/>
        <v>0</v>
      </c>
      <c r="P384" s="52" t="b">
        <f t="shared" si="37"/>
        <v>0</v>
      </c>
      <c r="Q384" s="52" t="b">
        <f t="shared" si="38"/>
        <v>0</v>
      </c>
      <c r="R384" s="52" t="b">
        <f t="shared" si="39"/>
        <v>0</v>
      </c>
      <c r="S384" s="52" t="b">
        <f t="shared" si="40"/>
        <v>0</v>
      </c>
      <c r="T384" s="52" t="b">
        <f t="shared" si="41"/>
        <v>0</v>
      </c>
    </row>
    <row r="385" spans="3:20" x14ac:dyDescent="0.2">
      <c r="C385" s="36" t="s">
        <v>52</v>
      </c>
      <c r="D385" s="46" t="s">
        <v>583</v>
      </c>
      <c r="E385" s="47" t="s">
        <v>584</v>
      </c>
      <c r="F385" s="47" t="s">
        <v>67</v>
      </c>
      <c r="G385" s="47"/>
      <c r="H385" s="47"/>
      <c r="I385" s="47"/>
      <c r="J385" s="47"/>
      <c r="K385" s="47"/>
      <c r="L385" s="48"/>
      <c r="M385" s="48" t="s">
        <v>585</v>
      </c>
      <c r="N385" s="52" t="str">
        <f t="shared" si="35"/>
        <v>30.4.</v>
      </c>
      <c r="O385" s="52" t="str">
        <f t="shared" si="36"/>
        <v>44.2 / 44.3</v>
      </c>
      <c r="P385" s="52" t="str">
        <f t="shared" si="37"/>
        <v>Расходы на реализацию в торговле / Управленческие расходы в торговле</v>
      </c>
      <c r="Q385" s="52">
        <f t="shared" si="38"/>
        <v>84</v>
      </c>
      <c r="R385" s="52" t="str">
        <f t="shared" si="39"/>
        <v>Расходы по услугам связи</v>
      </c>
      <c r="S385" s="52" t="str">
        <f t="shared" si="40"/>
        <v>Элементы затрат</v>
      </c>
      <c r="T385" s="52" t="str">
        <f t="shared" si="41"/>
        <v>Расходы по услугам связи</v>
      </c>
    </row>
    <row r="386" spans="3:20" ht="22.5" x14ac:dyDescent="0.2">
      <c r="C386" s="36" t="s">
        <v>1087</v>
      </c>
      <c r="D386" s="61" t="s">
        <v>125</v>
      </c>
      <c r="E386" s="61"/>
      <c r="F386" s="62" t="s">
        <v>126</v>
      </c>
      <c r="G386" s="62">
        <v>84</v>
      </c>
      <c r="H386" s="62" t="s">
        <v>584</v>
      </c>
      <c r="I386" s="62" t="s">
        <v>127</v>
      </c>
      <c r="J386" s="62" t="s">
        <v>128</v>
      </c>
      <c r="K386" s="62" t="s">
        <v>129</v>
      </c>
      <c r="L386" s="72"/>
      <c r="M386" s="73"/>
      <c r="N386" s="52" t="b">
        <f t="shared" si="35"/>
        <v>0</v>
      </c>
      <c r="O386" s="52" t="b">
        <f t="shared" si="36"/>
        <v>0</v>
      </c>
      <c r="P386" s="52" t="b">
        <f t="shared" si="37"/>
        <v>0</v>
      </c>
      <c r="Q386" s="52" t="b">
        <f t="shared" si="38"/>
        <v>0</v>
      </c>
      <c r="R386" s="52" t="b">
        <f t="shared" si="39"/>
        <v>0</v>
      </c>
      <c r="S386" s="52" t="b">
        <f t="shared" si="40"/>
        <v>0</v>
      </c>
      <c r="T386" s="52" t="b">
        <f t="shared" si="41"/>
        <v>0</v>
      </c>
    </row>
    <row r="387" spans="3:20" ht="22.5" x14ac:dyDescent="0.2">
      <c r="C387" s="36" t="s">
        <v>52</v>
      </c>
      <c r="D387" s="46" t="s">
        <v>586</v>
      </c>
      <c r="E387" s="47" t="s">
        <v>587</v>
      </c>
      <c r="F387" s="47" t="s">
        <v>67</v>
      </c>
      <c r="G387" s="47"/>
      <c r="H387" s="47"/>
      <c r="I387" s="47"/>
      <c r="J387" s="47"/>
      <c r="K387" s="47"/>
      <c r="L387" s="48"/>
      <c r="M387" s="48"/>
      <c r="N387" s="52" t="str">
        <f t="shared" ref="N387:N450" si="42">IF(AND($C387="Упр", $C388="1s"), D387)</f>
        <v>30.5.</v>
      </c>
      <c r="O387" s="52" t="str">
        <f t="shared" ref="O387:O450" si="43">IF(AND($C387="Упр", $C388="1s"), D388)</f>
        <v>44.2 / 44.3</v>
      </c>
      <c r="P387" s="52" t="str">
        <f t="shared" ref="P387:P450" si="44">IF(AND($C387="Упр", $C388="1s"), F388)</f>
        <v>Расходы на реализацию в торговле / Управленческие расходы в торговле</v>
      </c>
      <c r="Q387" s="52">
        <f t="shared" ref="Q387:Q450" si="45">IF(AND($C387="Упр", $C388="1s"), G388)</f>
        <v>90</v>
      </c>
      <c r="R387" s="52" t="str">
        <f t="shared" ref="R387:R450" si="46">IF(AND($C387="Упр", $C388="1s"), H388)</f>
        <v>Услуги прачечной (стирка, химчистка)</v>
      </c>
      <c r="S387" s="52" t="str">
        <f t="shared" ref="S387:S450" si="47">IF(AND($C387="Упр", $C388="1s"), I388)</f>
        <v>Элементы затрат</v>
      </c>
      <c r="T387" s="52" t="str">
        <f t="shared" ref="T387:T450" si="48">IF(AND($C387="Упр", $C388="1s"), E387)</f>
        <v>Услуги прачечной (стирка, химчистка)</v>
      </c>
    </row>
    <row r="388" spans="3:20" ht="22.5" x14ac:dyDescent="0.2">
      <c r="C388" s="36" t="s">
        <v>1087</v>
      </c>
      <c r="D388" s="61" t="s">
        <v>125</v>
      </c>
      <c r="E388" s="61"/>
      <c r="F388" s="62" t="s">
        <v>126</v>
      </c>
      <c r="G388" s="62">
        <v>90</v>
      </c>
      <c r="H388" s="62" t="s">
        <v>587</v>
      </c>
      <c r="I388" s="62" t="s">
        <v>127</v>
      </c>
      <c r="J388" s="62" t="s">
        <v>128</v>
      </c>
      <c r="K388" s="62" t="s">
        <v>129</v>
      </c>
      <c r="L388" s="72"/>
      <c r="M388" s="73"/>
      <c r="N388" s="52" t="b">
        <f t="shared" si="42"/>
        <v>0</v>
      </c>
      <c r="O388" s="52" t="b">
        <f t="shared" si="43"/>
        <v>0</v>
      </c>
      <c r="P388" s="52" t="b">
        <f t="shared" si="44"/>
        <v>0</v>
      </c>
      <c r="Q388" s="52" t="b">
        <f t="shared" si="45"/>
        <v>0</v>
      </c>
      <c r="R388" s="52" t="b">
        <f t="shared" si="46"/>
        <v>0</v>
      </c>
      <c r="S388" s="52" t="b">
        <f t="shared" si="47"/>
        <v>0</v>
      </c>
      <c r="T388" s="52" t="b">
        <f t="shared" si="48"/>
        <v>0</v>
      </c>
    </row>
    <row r="389" spans="3:20" x14ac:dyDescent="0.2">
      <c r="C389" s="36" t="s">
        <v>52</v>
      </c>
      <c r="D389" s="46" t="s">
        <v>588</v>
      </c>
      <c r="E389" s="47" t="s">
        <v>589</v>
      </c>
      <c r="F389" s="47" t="s">
        <v>67</v>
      </c>
      <c r="G389" s="47"/>
      <c r="H389" s="47"/>
      <c r="I389" s="47"/>
      <c r="J389" s="47"/>
      <c r="K389" s="47"/>
      <c r="L389" s="48"/>
      <c r="M389" s="48" t="s">
        <v>590</v>
      </c>
      <c r="N389" s="52" t="str">
        <f t="shared" si="42"/>
        <v>30.6.</v>
      </c>
      <c r="O389" s="52" t="str">
        <f t="shared" si="43"/>
        <v>44.2 / 44.3</v>
      </c>
      <c r="P389" s="52" t="str">
        <f t="shared" si="44"/>
        <v>Расходы на реализацию в торговле / Управленческие расходы в торговле</v>
      </c>
      <c r="Q389" s="52">
        <f t="shared" si="45"/>
        <v>76</v>
      </c>
      <c r="R389" s="52" t="str">
        <f t="shared" si="46"/>
        <v>Дератизация и дезинфекция</v>
      </c>
      <c r="S389" s="52" t="str">
        <f t="shared" si="47"/>
        <v>Элементы затрат</v>
      </c>
      <c r="T389" s="52" t="str">
        <f t="shared" si="48"/>
        <v>дератизация помещений</v>
      </c>
    </row>
    <row r="390" spans="3:20" ht="22.5" x14ac:dyDescent="0.2">
      <c r="C390" s="36" t="s">
        <v>1087</v>
      </c>
      <c r="D390" s="61" t="s">
        <v>125</v>
      </c>
      <c r="E390" s="61"/>
      <c r="F390" s="62" t="s">
        <v>126</v>
      </c>
      <c r="G390" s="62">
        <v>76</v>
      </c>
      <c r="H390" s="62" t="s">
        <v>591</v>
      </c>
      <c r="I390" s="62" t="s">
        <v>127</v>
      </c>
      <c r="J390" s="62" t="s">
        <v>128</v>
      </c>
      <c r="K390" s="62" t="s">
        <v>129</v>
      </c>
      <c r="L390" s="72"/>
      <c r="M390" s="73"/>
      <c r="N390" s="52" t="b">
        <f t="shared" si="42"/>
        <v>0</v>
      </c>
      <c r="O390" s="52" t="b">
        <f t="shared" si="43"/>
        <v>0</v>
      </c>
      <c r="P390" s="52" t="b">
        <f t="shared" si="44"/>
        <v>0</v>
      </c>
      <c r="Q390" s="52" t="b">
        <f t="shared" si="45"/>
        <v>0</v>
      </c>
      <c r="R390" s="52" t="b">
        <f t="shared" si="46"/>
        <v>0</v>
      </c>
      <c r="S390" s="52" t="b">
        <f t="shared" si="47"/>
        <v>0</v>
      </c>
      <c r="T390" s="52" t="b">
        <f t="shared" si="48"/>
        <v>0</v>
      </c>
    </row>
    <row r="391" spans="3:20" ht="22.5" x14ac:dyDescent="0.2">
      <c r="C391" s="36" t="s">
        <v>52</v>
      </c>
      <c r="D391" s="46" t="s">
        <v>592</v>
      </c>
      <c r="E391" s="47" t="s">
        <v>76</v>
      </c>
      <c r="F391" s="47" t="s">
        <v>593</v>
      </c>
      <c r="G391" s="47"/>
      <c r="H391" s="47"/>
      <c r="I391" s="47"/>
      <c r="J391" s="47"/>
      <c r="K391" s="47"/>
      <c r="L391" s="48"/>
      <c r="M391" s="48"/>
      <c r="N391" s="52" t="b">
        <f t="shared" si="42"/>
        <v>0</v>
      </c>
      <c r="O391" s="52" t="b">
        <f t="shared" si="43"/>
        <v>0</v>
      </c>
      <c r="P391" s="52" t="b">
        <f t="shared" si="44"/>
        <v>0</v>
      </c>
      <c r="Q391" s="52" t="b">
        <f t="shared" si="45"/>
        <v>0</v>
      </c>
      <c r="R391" s="52" t="b">
        <f t="shared" si="46"/>
        <v>0</v>
      </c>
      <c r="S391" s="52" t="b">
        <f t="shared" si="47"/>
        <v>0</v>
      </c>
      <c r="T391" s="52" t="b">
        <f t="shared" si="48"/>
        <v>0</v>
      </c>
    </row>
    <row r="392" spans="3:20" x14ac:dyDescent="0.2">
      <c r="C392" s="36" t="s">
        <v>52</v>
      </c>
      <c r="D392" s="46" t="s">
        <v>594</v>
      </c>
      <c r="E392" s="47" t="s">
        <v>595</v>
      </c>
      <c r="F392" s="47"/>
      <c r="G392" s="47"/>
      <c r="H392" s="47"/>
      <c r="I392" s="47"/>
      <c r="J392" s="47"/>
      <c r="K392" s="47"/>
      <c r="L392" s="48"/>
      <c r="M392" s="48"/>
      <c r="N392" s="52" t="str">
        <f t="shared" si="42"/>
        <v>30.8.2.</v>
      </c>
      <c r="O392" s="52" t="str">
        <f t="shared" si="43"/>
        <v>44.2 / 44.3</v>
      </c>
      <c r="P392" s="52" t="str">
        <f t="shared" si="44"/>
        <v>Расходы на реализацию в торговле / Управленческие расходы в торговле</v>
      </c>
      <c r="Q392" s="52">
        <f t="shared" si="45"/>
        <v>30</v>
      </c>
      <c r="R392" s="52" t="str">
        <f t="shared" si="46"/>
        <v>Аренда оборудования</v>
      </c>
      <c r="S392" s="52" t="str">
        <f t="shared" si="47"/>
        <v>Элементы затрат</v>
      </c>
      <c r="T392" s="52" t="str">
        <f t="shared" si="48"/>
        <v>Аренда оборудования</v>
      </c>
    </row>
    <row r="393" spans="3:20" ht="22.5" x14ac:dyDescent="0.2">
      <c r="C393" s="36" t="s">
        <v>1087</v>
      </c>
      <c r="D393" s="61" t="s">
        <v>125</v>
      </c>
      <c r="E393" s="61"/>
      <c r="F393" s="62" t="s">
        <v>126</v>
      </c>
      <c r="G393" s="62">
        <v>30</v>
      </c>
      <c r="H393" s="62" t="s">
        <v>595</v>
      </c>
      <c r="I393" s="62" t="s">
        <v>127</v>
      </c>
      <c r="J393" s="62" t="s">
        <v>128</v>
      </c>
      <c r="K393" s="62" t="s">
        <v>129</v>
      </c>
      <c r="L393" s="72"/>
      <c r="M393" s="73"/>
      <c r="N393" s="52" t="b">
        <f t="shared" si="42"/>
        <v>0</v>
      </c>
      <c r="O393" s="52" t="b">
        <f t="shared" si="43"/>
        <v>0</v>
      </c>
      <c r="P393" s="52" t="b">
        <f t="shared" si="44"/>
        <v>0</v>
      </c>
      <c r="Q393" s="52" t="b">
        <f t="shared" si="45"/>
        <v>0</v>
      </c>
      <c r="R393" s="52" t="b">
        <f t="shared" si="46"/>
        <v>0</v>
      </c>
      <c r="S393" s="52" t="b">
        <f t="shared" si="47"/>
        <v>0</v>
      </c>
      <c r="T393" s="52" t="b">
        <f t="shared" si="48"/>
        <v>0</v>
      </c>
    </row>
    <row r="394" spans="3:20" x14ac:dyDescent="0.2">
      <c r="C394" s="36" t="s">
        <v>52</v>
      </c>
      <c r="D394" s="46" t="s">
        <v>596</v>
      </c>
      <c r="E394" s="47" t="s">
        <v>597</v>
      </c>
      <c r="F394" s="47"/>
      <c r="G394" s="47"/>
      <c r="H394" s="47"/>
      <c r="I394" s="47"/>
      <c r="J394" s="47"/>
      <c r="K394" s="47"/>
      <c r="L394" s="48"/>
      <c r="M394" s="48"/>
      <c r="N394" s="52" t="str">
        <f t="shared" si="42"/>
        <v>30.8.3.</v>
      </c>
      <c r="O394" s="52" t="str">
        <f t="shared" si="43"/>
        <v>44.2 / 44.3</v>
      </c>
      <c r="P394" s="52" t="str">
        <f t="shared" si="44"/>
        <v>Расходы на реализацию в торговле / Управленческие расходы в торговле</v>
      </c>
      <c r="Q394" s="52">
        <f t="shared" si="45"/>
        <v>33</v>
      </c>
      <c r="R394" s="52" t="str">
        <f t="shared" si="46"/>
        <v>Аренда прочая</v>
      </c>
      <c r="S394" s="52" t="str">
        <f t="shared" si="47"/>
        <v>Элементы затрат</v>
      </c>
      <c r="T394" s="52" t="str">
        <f t="shared" si="48"/>
        <v>Аренда прочая</v>
      </c>
    </row>
    <row r="395" spans="3:20" ht="22.5" x14ac:dyDescent="0.2">
      <c r="C395" s="36" t="s">
        <v>1087</v>
      </c>
      <c r="D395" s="61" t="s">
        <v>125</v>
      </c>
      <c r="E395" s="61"/>
      <c r="F395" s="62" t="s">
        <v>126</v>
      </c>
      <c r="G395" s="62">
        <v>33</v>
      </c>
      <c r="H395" s="62" t="s">
        <v>597</v>
      </c>
      <c r="I395" s="62" t="s">
        <v>127</v>
      </c>
      <c r="J395" s="62" t="s">
        <v>128</v>
      </c>
      <c r="K395" s="62" t="s">
        <v>129</v>
      </c>
      <c r="L395" s="44" t="s">
        <v>598</v>
      </c>
      <c r="M395" s="73"/>
      <c r="N395" s="52" t="b">
        <f t="shared" si="42"/>
        <v>0</v>
      </c>
      <c r="O395" s="52" t="b">
        <f t="shared" si="43"/>
        <v>0</v>
      </c>
      <c r="P395" s="52" t="b">
        <f t="shared" si="44"/>
        <v>0</v>
      </c>
      <c r="Q395" s="52" t="b">
        <f t="shared" si="45"/>
        <v>0</v>
      </c>
      <c r="R395" s="52" t="b">
        <f t="shared" si="46"/>
        <v>0</v>
      </c>
      <c r="S395" s="52" t="b">
        <f t="shared" si="47"/>
        <v>0</v>
      </c>
      <c r="T395" s="52" t="b">
        <f t="shared" si="48"/>
        <v>0</v>
      </c>
    </row>
    <row r="396" spans="3:20" x14ac:dyDescent="0.2">
      <c r="C396" s="36" t="s">
        <v>52</v>
      </c>
      <c r="D396" s="46" t="s">
        <v>599</v>
      </c>
      <c r="E396" s="47" t="s">
        <v>600</v>
      </c>
      <c r="F396" s="47"/>
      <c r="G396" s="47"/>
      <c r="H396" s="47"/>
      <c r="I396" s="47"/>
      <c r="J396" s="47"/>
      <c r="K396" s="47"/>
      <c r="L396" s="48"/>
      <c r="M396" s="48"/>
      <c r="N396" s="52" t="str">
        <f t="shared" si="42"/>
        <v>30.8.4.</v>
      </c>
      <c r="O396" s="52" t="str">
        <f t="shared" si="43"/>
        <v>44.2 / 44.3</v>
      </c>
      <c r="P396" s="52" t="str">
        <f t="shared" si="44"/>
        <v>Расходы на реализацию в торговле / Управленческие расходы в торговле</v>
      </c>
      <c r="Q396" s="52">
        <f t="shared" si="45"/>
        <v>554</v>
      </c>
      <c r="R396" s="52" t="str">
        <f t="shared" si="46"/>
        <v>Услуги по ОДУ</v>
      </c>
      <c r="S396" s="52" t="str">
        <f t="shared" si="47"/>
        <v>Элементы затрат</v>
      </c>
      <c r="T396" s="52" t="str">
        <f t="shared" si="48"/>
        <v>Услуги по ОДУ</v>
      </c>
    </row>
    <row r="397" spans="3:20" ht="22.5" x14ac:dyDescent="0.2">
      <c r="C397" s="36" t="s">
        <v>1087</v>
      </c>
      <c r="D397" s="61" t="s">
        <v>125</v>
      </c>
      <c r="E397" s="61"/>
      <c r="F397" s="62" t="s">
        <v>126</v>
      </c>
      <c r="G397" s="62">
        <v>554</v>
      </c>
      <c r="H397" s="62" t="s">
        <v>600</v>
      </c>
      <c r="I397" s="62" t="s">
        <v>127</v>
      </c>
      <c r="J397" s="62" t="s">
        <v>128</v>
      </c>
      <c r="K397" s="62" t="s">
        <v>129</v>
      </c>
      <c r="L397" s="72"/>
      <c r="M397" s="73"/>
      <c r="N397" s="52" t="b">
        <f t="shared" si="42"/>
        <v>0</v>
      </c>
      <c r="O397" s="52" t="b">
        <f t="shared" si="43"/>
        <v>0</v>
      </c>
      <c r="P397" s="52" t="b">
        <f t="shared" si="44"/>
        <v>0</v>
      </c>
      <c r="Q397" s="52" t="b">
        <f t="shared" si="45"/>
        <v>0</v>
      </c>
      <c r="R397" s="52" t="b">
        <f t="shared" si="46"/>
        <v>0</v>
      </c>
      <c r="S397" s="52" t="b">
        <f t="shared" si="47"/>
        <v>0</v>
      </c>
      <c r="T397" s="52" t="b">
        <f t="shared" si="48"/>
        <v>0</v>
      </c>
    </row>
    <row r="398" spans="3:20" ht="22.5" x14ac:dyDescent="0.2">
      <c r="C398" s="36" t="s">
        <v>52</v>
      </c>
      <c r="D398" s="46" t="s">
        <v>601</v>
      </c>
      <c r="E398" s="47" t="s">
        <v>602</v>
      </c>
      <c r="F398" s="47"/>
      <c r="G398" s="47"/>
      <c r="H398" s="47"/>
      <c r="I398" s="47"/>
      <c r="J398" s="47"/>
      <c r="K398" s="47"/>
      <c r="L398" s="48"/>
      <c r="M398" s="48"/>
      <c r="N398" s="52" t="str">
        <f t="shared" si="42"/>
        <v>30.8.5.</v>
      </c>
      <c r="O398" s="52" t="str">
        <f t="shared" si="43"/>
        <v>44.2 / 44.3</v>
      </c>
      <c r="P398" s="52" t="str">
        <f t="shared" si="44"/>
        <v>Расходы на реализацию в торговле / Управленческие расходы в торговле</v>
      </c>
      <c r="Q398" s="52">
        <f t="shared" si="45"/>
        <v>596</v>
      </c>
      <c r="R398" s="52" t="str">
        <f t="shared" si="46"/>
        <v>Вознаграждение исполнителю за услуги в интернет-торговле</v>
      </c>
      <c r="S398" s="52" t="str">
        <f t="shared" si="47"/>
        <v>Элементы затрат</v>
      </c>
      <c r="T398" s="52" t="str">
        <f t="shared" si="48"/>
        <v>Вознаграждение исполнителю за услуги в интернет-торговле</v>
      </c>
    </row>
    <row r="399" spans="3:20" ht="22.5" x14ac:dyDescent="0.2">
      <c r="C399" s="36" t="s">
        <v>1087</v>
      </c>
      <c r="D399" s="61" t="s">
        <v>125</v>
      </c>
      <c r="E399" s="61"/>
      <c r="F399" s="62" t="s">
        <v>126</v>
      </c>
      <c r="G399" s="62">
        <v>596</v>
      </c>
      <c r="H399" s="62" t="s">
        <v>602</v>
      </c>
      <c r="I399" s="62" t="s">
        <v>127</v>
      </c>
      <c r="J399" s="62" t="s">
        <v>128</v>
      </c>
      <c r="K399" s="62" t="s">
        <v>129</v>
      </c>
      <c r="L399" s="72"/>
      <c r="M399" s="73"/>
      <c r="N399" s="52" t="b">
        <f t="shared" si="42"/>
        <v>0</v>
      </c>
      <c r="O399" s="52" t="b">
        <f t="shared" si="43"/>
        <v>0</v>
      </c>
      <c r="P399" s="52" t="b">
        <f t="shared" si="44"/>
        <v>0</v>
      </c>
      <c r="Q399" s="52" t="b">
        <f t="shared" si="45"/>
        <v>0</v>
      </c>
      <c r="R399" s="52" t="b">
        <f t="shared" si="46"/>
        <v>0</v>
      </c>
      <c r="S399" s="52" t="b">
        <f t="shared" si="47"/>
        <v>0</v>
      </c>
      <c r="T399" s="52" t="b">
        <f t="shared" si="48"/>
        <v>0</v>
      </c>
    </row>
    <row r="400" spans="3:20" x14ac:dyDescent="0.2">
      <c r="C400" s="36" t="s">
        <v>52</v>
      </c>
      <c r="D400" s="46" t="s">
        <v>603</v>
      </c>
      <c r="E400" s="47" t="s">
        <v>604</v>
      </c>
      <c r="F400" s="47"/>
      <c r="G400" s="47"/>
      <c r="H400" s="47"/>
      <c r="I400" s="47"/>
      <c r="J400" s="47"/>
      <c r="K400" s="47"/>
      <c r="L400" s="48"/>
      <c r="M400" s="48"/>
      <c r="N400" s="52" t="str">
        <f t="shared" si="42"/>
        <v>30.8.6.</v>
      </c>
      <c r="O400" s="52" t="str">
        <f t="shared" si="43"/>
        <v>44.2 / 44.3</v>
      </c>
      <c r="P400" s="52" t="str">
        <f t="shared" si="44"/>
        <v>Расходы на реализацию в торговле / Управленческие расходы в торговле</v>
      </c>
      <c r="Q400" s="52">
        <f t="shared" si="45"/>
        <v>82</v>
      </c>
      <c r="R400" s="52" t="str">
        <f t="shared" si="46"/>
        <v>Прочие затраты</v>
      </c>
      <c r="S400" s="52" t="str">
        <f t="shared" si="47"/>
        <v>Элементы затрат</v>
      </c>
      <c r="T400" s="52" t="str">
        <f t="shared" si="48"/>
        <v>Прочие затраты</v>
      </c>
    </row>
    <row r="401" spans="3:20" ht="22.5" x14ac:dyDescent="0.2">
      <c r="C401" s="36" t="s">
        <v>1087</v>
      </c>
      <c r="D401" s="61" t="s">
        <v>125</v>
      </c>
      <c r="E401" s="61"/>
      <c r="F401" s="62" t="s">
        <v>126</v>
      </c>
      <c r="G401" s="62">
        <v>82</v>
      </c>
      <c r="H401" s="62" t="s">
        <v>604</v>
      </c>
      <c r="I401" s="62" t="s">
        <v>127</v>
      </c>
      <c r="J401" s="62" t="s">
        <v>128</v>
      </c>
      <c r="K401" s="62" t="s">
        <v>129</v>
      </c>
      <c r="L401" s="72"/>
      <c r="M401" s="73"/>
      <c r="N401" s="52" t="b">
        <f t="shared" si="42"/>
        <v>0</v>
      </c>
      <c r="O401" s="52" t="b">
        <f t="shared" si="43"/>
        <v>0</v>
      </c>
      <c r="P401" s="52" t="b">
        <f t="shared" si="44"/>
        <v>0</v>
      </c>
      <c r="Q401" s="52" t="b">
        <f t="shared" si="45"/>
        <v>0</v>
      </c>
      <c r="R401" s="52" t="b">
        <f t="shared" si="46"/>
        <v>0</v>
      </c>
      <c r="S401" s="52" t="b">
        <f t="shared" si="47"/>
        <v>0</v>
      </c>
      <c r="T401" s="52" t="b">
        <f t="shared" si="48"/>
        <v>0</v>
      </c>
    </row>
    <row r="402" spans="3:20" x14ac:dyDescent="0.2">
      <c r="C402" s="36" t="s">
        <v>52</v>
      </c>
      <c r="D402" s="46" t="s">
        <v>605</v>
      </c>
      <c r="E402" s="47" t="s">
        <v>606</v>
      </c>
      <c r="F402" s="47"/>
      <c r="G402" s="47"/>
      <c r="H402" s="47"/>
      <c r="I402" s="47"/>
      <c r="J402" s="47"/>
      <c r="K402" s="47"/>
      <c r="L402" s="48"/>
      <c r="M402" s="48"/>
      <c r="N402" s="52" t="str">
        <f t="shared" si="42"/>
        <v>30.8.7.</v>
      </c>
      <c r="O402" s="52" t="str">
        <f t="shared" si="43"/>
        <v>44.2 / 44.3</v>
      </c>
      <c r="P402" s="52" t="str">
        <f t="shared" si="44"/>
        <v>Расходы на реализацию в торговле / Управленческие расходы в торговле</v>
      </c>
      <c r="Q402" s="52">
        <f t="shared" si="45"/>
        <v>85</v>
      </c>
      <c r="R402" s="52" t="str">
        <f t="shared" si="46"/>
        <v>Уборка комплексная</v>
      </c>
      <c r="S402" s="52" t="str">
        <f t="shared" si="47"/>
        <v>Элементы затрат</v>
      </c>
      <c r="T402" s="52" t="str">
        <f t="shared" si="48"/>
        <v>Уборка комплексная</v>
      </c>
    </row>
    <row r="403" spans="3:20" ht="22.5" x14ac:dyDescent="0.2">
      <c r="C403" s="36" t="s">
        <v>1087</v>
      </c>
      <c r="D403" s="61" t="s">
        <v>125</v>
      </c>
      <c r="E403" s="61"/>
      <c r="F403" s="62" t="s">
        <v>126</v>
      </c>
      <c r="G403" s="62">
        <v>85</v>
      </c>
      <c r="H403" s="62" t="s">
        <v>606</v>
      </c>
      <c r="I403" s="62" t="s">
        <v>127</v>
      </c>
      <c r="J403" s="62" t="s">
        <v>128</v>
      </c>
      <c r="K403" s="62" t="s">
        <v>129</v>
      </c>
      <c r="L403" s="72"/>
      <c r="M403" s="73"/>
      <c r="N403" s="52" t="b">
        <f t="shared" si="42"/>
        <v>0</v>
      </c>
      <c r="O403" s="52" t="b">
        <f t="shared" si="43"/>
        <v>0</v>
      </c>
      <c r="P403" s="52" t="b">
        <f t="shared" si="44"/>
        <v>0</v>
      </c>
      <c r="Q403" s="52" t="b">
        <f t="shared" si="45"/>
        <v>0</v>
      </c>
      <c r="R403" s="52" t="b">
        <f t="shared" si="46"/>
        <v>0</v>
      </c>
      <c r="S403" s="52" t="b">
        <f t="shared" si="47"/>
        <v>0</v>
      </c>
      <c r="T403" s="52" t="b">
        <f t="shared" si="48"/>
        <v>0</v>
      </c>
    </row>
    <row r="404" spans="3:20" x14ac:dyDescent="0.2">
      <c r="C404" s="36" t="s">
        <v>52</v>
      </c>
      <c r="D404" s="46" t="s">
        <v>607</v>
      </c>
      <c r="E404" s="47" t="s">
        <v>608</v>
      </c>
      <c r="F404" s="47"/>
      <c r="G404" s="47"/>
      <c r="H404" s="47"/>
      <c r="I404" s="47"/>
      <c r="J404" s="47"/>
      <c r="K404" s="47"/>
      <c r="L404" s="48"/>
      <c r="M404" s="48"/>
      <c r="N404" s="52" t="str">
        <f t="shared" si="42"/>
        <v>30.8.8.</v>
      </c>
      <c r="O404" s="52" t="str">
        <f t="shared" si="43"/>
        <v>44.2 / 44.3</v>
      </c>
      <c r="P404" s="52" t="str">
        <f t="shared" si="44"/>
        <v>Расходы на реализацию в торговле / Управленческие расходы в торговле</v>
      </c>
      <c r="Q404" s="52">
        <f t="shared" si="45"/>
        <v>91</v>
      </c>
      <c r="R404" s="52" t="str">
        <f t="shared" si="46"/>
        <v>Услуги таможенного декларанта</v>
      </c>
      <c r="S404" s="52" t="str">
        <f t="shared" si="47"/>
        <v>Элементы затрат</v>
      </c>
      <c r="T404" s="52" t="str">
        <f t="shared" si="48"/>
        <v>Услуги таможенного декларанта</v>
      </c>
    </row>
    <row r="405" spans="3:20" ht="22.5" x14ac:dyDescent="0.2">
      <c r="C405" s="36" t="s">
        <v>1087</v>
      </c>
      <c r="D405" s="61" t="s">
        <v>125</v>
      </c>
      <c r="E405" s="61"/>
      <c r="F405" s="62" t="s">
        <v>126</v>
      </c>
      <c r="G405" s="62">
        <v>91</v>
      </c>
      <c r="H405" s="62" t="s">
        <v>608</v>
      </c>
      <c r="I405" s="62" t="s">
        <v>127</v>
      </c>
      <c r="J405" s="62" t="s">
        <v>128</v>
      </c>
      <c r="K405" s="62" t="s">
        <v>129</v>
      </c>
      <c r="L405" s="72"/>
      <c r="M405" s="73"/>
      <c r="N405" s="52" t="b">
        <f t="shared" si="42"/>
        <v>0</v>
      </c>
      <c r="O405" s="52" t="b">
        <f t="shared" si="43"/>
        <v>0</v>
      </c>
      <c r="P405" s="52" t="b">
        <f t="shared" si="44"/>
        <v>0</v>
      </c>
      <c r="Q405" s="52" t="b">
        <f t="shared" si="45"/>
        <v>0</v>
      </c>
      <c r="R405" s="52" t="b">
        <f t="shared" si="46"/>
        <v>0</v>
      </c>
      <c r="S405" s="52" t="b">
        <f t="shared" si="47"/>
        <v>0</v>
      </c>
      <c r="T405" s="52" t="b">
        <f t="shared" si="48"/>
        <v>0</v>
      </c>
    </row>
    <row r="406" spans="3:20" ht="22.5" x14ac:dyDescent="0.2">
      <c r="C406" s="36" t="s">
        <v>52</v>
      </c>
      <c r="D406" s="46" t="s">
        <v>609</v>
      </c>
      <c r="E406" s="47" t="s">
        <v>610</v>
      </c>
      <c r="F406" s="47" t="s">
        <v>54</v>
      </c>
      <c r="G406" s="47"/>
      <c r="H406" s="47"/>
      <c r="I406" s="47"/>
      <c r="J406" s="47"/>
      <c r="K406" s="47"/>
      <c r="L406" s="48"/>
      <c r="M406" s="48"/>
      <c r="N406" s="52" t="b">
        <f t="shared" si="42"/>
        <v>0</v>
      </c>
      <c r="O406" s="52" t="b">
        <f t="shared" si="43"/>
        <v>0</v>
      </c>
      <c r="P406" s="52" t="b">
        <f t="shared" si="44"/>
        <v>0</v>
      </c>
      <c r="Q406" s="52" t="b">
        <f t="shared" si="45"/>
        <v>0</v>
      </c>
      <c r="R406" s="52" t="b">
        <f t="shared" si="46"/>
        <v>0</v>
      </c>
      <c r="S406" s="52" t="b">
        <f t="shared" si="47"/>
        <v>0</v>
      </c>
      <c r="T406" s="52" t="b">
        <f t="shared" si="48"/>
        <v>0</v>
      </c>
    </row>
    <row r="407" spans="3:20" x14ac:dyDescent="0.2">
      <c r="C407" s="36" t="s">
        <v>52</v>
      </c>
      <c r="D407" s="46" t="s">
        <v>611</v>
      </c>
      <c r="E407" s="47" t="s">
        <v>612</v>
      </c>
      <c r="F407" s="47" t="s">
        <v>54</v>
      </c>
      <c r="G407" s="47"/>
      <c r="H407" s="47"/>
      <c r="I407" s="47"/>
      <c r="J407" s="47"/>
      <c r="K407" s="47"/>
      <c r="L407" s="48"/>
      <c r="M407" s="48"/>
      <c r="N407" s="52" t="b">
        <f t="shared" si="42"/>
        <v>0</v>
      </c>
      <c r="O407" s="52" t="b">
        <f t="shared" si="43"/>
        <v>0</v>
      </c>
      <c r="P407" s="52" t="b">
        <f t="shared" si="44"/>
        <v>0</v>
      </c>
      <c r="Q407" s="52" t="b">
        <f t="shared" si="45"/>
        <v>0</v>
      </c>
      <c r="R407" s="52" t="b">
        <f t="shared" si="46"/>
        <v>0</v>
      </c>
      <c r="S407" s="52" t="b">
        <f t="shared" si="47"/>
        <v>0</v>
      </c>
      <c r="T407" s="52" t="b">
        <f t="shared" si="48"/>
        <v>0</v>
      </c>
    </row>
    <row r="408" spans="3:20" ht="22.5" x14ac:dyDescent="0.2">
      <c r="C408" s="36" t="s">
        <v>52</v>
      </c>
      <c r="D408" s="46" t="s">
        <v>611</v>
      </c>
      <c r="E408" s="47" t="s">
        <v>613</v>
      </c>
      <c r="F408" s="47"/>
      <c r="G408" s="47"/>
      <c r="H408" s="47"/>
      <c r="I408" s="47"/>
      <c r="J408" s="47"/>
      <c r="K408" s="47"/>
      <c r="L408" s="48"/>
      <c r="M408" s="48"/>
      <c r="N408" s="52" t="str">
        <f t="shared" si="42"/>
        <v>30.8.1.1.</v>
      </c>
      <c r="O408" s="52" t="str">
        <f t="shared" si="43"/>
        <v>44.2 / 44.3</v>
      </c>
      <c r="P408" s="52" t="str">
        <f t="shared" si="44"/>
        <v>Расходы на реализацию в торговле / Управленческие расходы в торговле</v>
      </c>
      <c r="Q408" s="52">
        <f t="shared" si="45"/>
        <v>479</v>
      </c>
      <c r="R408" s="52" t="str">
        <f t="shared" si="46"/>
        <v>Наклейки/Квартальная заявка/Операционные затраты</v>
      </c>
      <c r="S408" s="52" t="str">
        <f t="shared" si="47"/>
        <v>Элементы затрат</v>
      </c>
      <c r="T408" s="52" t="str">
        <f t="shared" si="48"/>
        <v>Наклейки/Квартальная заявка/Операционные затраты</v>
      </c>
    </row>
    <row r="409" spans="3:20" ht="22.5" x14ac:dyDescent="0.2">
      <c r="C409" s="36" t="s">
        <v>1087</v>
      </c>
      <c r="D409" s="61" t="s">
        <v>125</v>
      </c>
      <c r="E409" s="61"/>
      <c r="F409" s="62" t="s">
        <v>126</v>
      </c>
      <c r="G409" s="62">
        <v>479</v>
      </c>
      <c r="H409" s="62" t="s">
        <v>613</v>
      </c>
      <c r="I409" s="62" t="s">
        <v>127</v>
      </c>
      <c r="J409" s="62" t="s">
        <v>128</v>
      </c>
      <c r="K409" s="62" t="s">
        <v>129</v>
      </c>
      <c r="L409" s="72"/>
      <c r="M409" s="73"/>
      <c r="N409" s="52" t="b">
        <f t="shared" si="42"/>
        <v>0</v>
      </c>
      <c r="O409" s="52" t="b">
        <f t="shared" si="43"/>
        <v>0</v>
      </c>
      <c r="P409" s="52" t="b">
        <f t="shared" si="44"/>
        <v>0</v>
      </c>
      <c r="Q409" s="52" t="b">
        <f t="shared" si="45"/>
        <v>0</v>
      </c>
      <c r="R409" s="52" t="b">
        <f t="shared" si="46"/>
        <v>0</v>
      </c>
      <c r="S409" s="52" t="b">
        <f t="shared" si="47"/>
        <v>0</v>
      </c>
      <c r="T409" s="52" t="b">
        <f t="shared" si="48"/>
        <v>0</v>
      </c>
    </row>
    <row r="410" spans="3:20" ht="22.5" x14ac:dyDescent="0.2">
      <c r="C410" s="36" t="s">
        <v>52</v>
      </c>
      <c r="D410" s="46" t="s">
        <v>614</v>
      </c>
      <c r="E410" s="47" t="s">
        <v>615</v>
      </c>
      <c r="F410" s="47"/>
      <c r="G410" s="47"/>
      <c r="H410" s="47"/>
      <c r="I410" s="47"/>
      <c r="J410" s="47"/>
      <c r="K410" s="47"/>
      <c r="L410" s="48"/>
      <c r="M410" s="48"/>
      <c r="N410" s="52" t="str">
        <f t="shared" si="42"/>
        <v>30.8.1.2.</v>
      </c>
      <c r="O410" s="52" t="str">
        <f t="shared" si="43"/>
        <v>44.2 / 44.3</v>
      </c>
      <c r="P410" s="52" t="str">
        <f t="shared" si="44"/>
        <v>Расходы на реализацию в торговле / Управленческие расходы в торговле</v>
      </c>
      <c r="Q410" s="52">
        <f t="shared" si="45"/>
        <v>477</v>
      </c>
      <c r="R410" s="52" t="str">
        <f t="shared" si="46"/>
        <v>Плакаты/Квартальная заявка/Операционные затраты</v>
      </c>
      <c r="S410" s="52" t="str">
        <f t="shared" si="47"/>
        <v>Элементы затрат</v>
      </c>
      <c r="T410" s="52" t="str">
        <f t="shared" si="48"/>
        <v>Плакаты/Квартальная заявка/Операционные затраты</v>
      </c>
    </row>
    <row r="411" spans="3:20" ht="22.5" x14ac:dyDescent="0.2">
      <c r="C411" s="36" t="s">
        <v>1087</v>
      </c>
      <c r="D411" s="61" t="s">
        <v>125</v>
      </c>
      <c r="E411" s="61"/>
      <c r="F411" s="62" t="s">
        <v>126</v>
      </c>
      <c r="G411" s="62">
        <v>477</v>
      </c>
      <c r="H411" s="62" t="s">
        <v>615</v>
      </c>
      <c r="I411" s="62" t="s">
        <v>127</v>
      </c>
      <c r="J411" s="62" t="s">
        <v>128</v>
      </c>
      <c r="K411" s="62" t="s">
        <v>129</v>
      </c>
      <c r="L411" s="72"/>
      <c r="M411" s="73"/>
      <c r="N411" s="52" t="b">
        <f t="shared" si="42"/>
        <v>0</v>
      </c>
      <c r="O411" s="52" t="b">
        <f t="shared" si="43"/>
        <v>0</v>
      </c>
      <c r="P411" s="52" t="b">
        <f t="shared" si="44"/>
        <v>0</v>
      </c>
      <c r="Q411" s="52" t="b">
        <f t="shared" si="45"/>
        <v>0</v>
      </c>
      <c r="R411" s="52" t="b">
        <f t="shared" si="46"/>
        <v>0</v>
      </c>
      <c r="S411" s="52" t="b">
        <f t="shared" si="47"/>
        <v>0</v>
      </c>
      <c r="T411" s="52" t="b">
        <f t="shared" si="48"/>
        <v>0</v>
      </c>
    </row>
    <row r="412" spans="3:20" ht="22.5" x14ac:dyDescent="0.2">
      <c r="C412" s="36" t="s">
        <v>52</v>
      </c>
      <c r="D412" s="46" t="s">
        <v>616</v>
      </c>
      <c r="E412" s="47" t="s">
        <v>617</v>
      </c>
      <c r="F412" s="47"/>
      <c r="G412" s="47"/>
      <c r="H412" s="47"/>
      <c r="I412" s="47"/>
      <c r="J412" s="47"/>
      <c r="K412" s="47"/>
      <c r="L412" s="48"/>
      <c r="M412" s="48"/>
      <c r="N412" s="52" t="str">
        <f t="shared" si="42"/>
        <v>30.8.1.3.</v>
      </c>
      <c r="O412" s="52" t="str">
        <f t="shared" si="43"/>
        <v>44.2 / 44.3</v>
      </c>
      <c r="P412" s="52" t="str">
        <f t="shared" si="44"/>
        <v>Расходы на реализацию в торговле / Управленческие расходы в торговле</v>
      </c>
      <c r="Q412" s="52">
        <f t="shared" si="45"/>
        <v>476</v>
      </c>
      <c r="R412" s="52" t="str">
        <f t="shared" si="46"/>
        <v>Стопперы/шелфтокеры/Квартальная заявка/Операционные затраты</v>
      </c>
      <c r="S412" s="52" t="str">
        <f t="shared" si="47"/>
        <v>Элементы затрат</v>
      </c>
      <c r="T412" s="52" t="str">
        <f t="shared" si="48"/>
        <v>Стопперы/шелфтокеры/Квартальная заявка/Операционные затраты</v>
      </c>
    </row>
    <row r="413" spans="3:20" ht="22.5" x14ac:dyDescent="0.2">
      <c r="C413" s="36" t="s">
        <v>1087</v>
      </c>
      <c r="D413" s="61" t="s">
        <v>125</v>
      </c>
      <c r="E413" s="61"/>
      <c r="F413" s="62" t="s">
        <v>126</v>
      </c>
      <c r="G413" s="62">
        <v>476</v>
      </c>
      <c r="H413" s="62" t="s">
        <v>617</v>
      </c>
      <c r="I413" s="62" t="s">
        <v>127</v>
      </c>
      <c r="J413" s="62" t="s">
        <v>128</v>
      </c>
      <c r="K413" s="62" t="s">
        <v>129</v>
      </c>
      <c r="L413" s="72"/>
      <c r="M413" s="73"/>
      <c r="N413" s="52" t="b">
        <f t="shared" si="42"/>
        <v>0</v>
      </c>
      <c r="O413" s="52" t="b">
        <f t="shared" si="43"/>
        <v>0</v>
      </c>
      <c r="P413" s="52" t="b">
        <f t="shared" si="44"/>
        <v>0</v>
      </c>
      <c r="Q413" s="52" t="b">
        <f t="shared" si="45"/>
        <v>0</v>
      </c>
      <c r="R413" s="52" t="b">
        <f t="shared" si="46"/>
        <v>0</v>
      </c>
      <c r="S413" s="52" t="b">
        <f t="shared" si="47"/>
        <v>0</v>
      </c>
      <c r="T413" s="52" t="b">
        <f t="shared" si="48"/>
        <v>0</v>
      </c>
    </row>
    <row r="414" spans="3:20" ht="22.5" x14ac:dyDescent="0.2">
      <c r="C414" s="36" t="s">
        <v>52</v>
      </c>
      <c r="D414" s="43"/>
      <c r="E414" s="44" t="s">
        <v>618</v>
      </c>
      <c r="F414" s="44" t="s">
        <v>57</v>
      </c>
      <c r="G414" s="44"/>
      <c r="H414" s="44"/>
      <c r="I414" s="44"/>
      <c r="J414" s="44"/>
      <c r="K414" s="44"/>
      <c r="L414" s="45"/>
      <c r="M414" s="45"/>
      <c r="N414" s="52">
        <f t="shared" si="42"/>
        <v>0</v>
      </c>
      <c r="O414" s="52" t="str">
        <f t="shared" si="43"/>
        <v>44.2 / 44.3</v>
      </c>
      <c r="P414" s="52" t="str">
        <f t="shared" si="44"/>
        <v>Расходы на реализацию в торговле / Управленческие расходы в торговле</v>
      </c>
      <c r="Q414" s="52">
        <f t="shared" si="45"/>
        <v>478</v>
      </c>
      <c r="R414" s="52" t="str">
        <f t="shared" si="46"/>
        <v>Бланки/Квартальная заявка/Операционные затраты</v>
      </c>
      <c r="S414" s="52" t="str">
        <f t="shared" si="47"/>
        <v>Элементы затрат</v>
      </c>
      <c r="T414" s="52" t="str">
        <f t="shared" si="48"/>
        <v>Бланки/Квартальная заявка/Операционные затраты</v>
      </c>
    </row>
    <row r="415" spans="3:20" ht="22.5" x14ac:dyDescent="0.2">
      <c r="C415" s="36" t="s">
        <v>1087</v>
      </c>
      <c r="D415" s="61" t="s">
        <v>125</v>
      </c>
      <c r="E415" s="61"/>
      <c r="F415" s="62" t="s">
        <v>126</v>
      </c>
      <c r="G415" s="62">
        <v>478</v>
      </c>
      <c r="H415" s="62" t="s">
        <v>618</v>
      </c>
      <c r="I415" s="62" t="s">
        <v>127</v>
      </c>
      <c r="J415" s="62" t="s">
        <v>128</v>
      </c>
      <c r="K415" s="62" t="s">
        <v>129</v>
      </c>
      <c r="L415" s="72"/>
      <c r="M415" s="73"/>
      <c r="N415" s="52" t="b">
        <f t="shared" si="42"/>
        <v>0</v>
      </c>
      <c r="O415" s="52" t="b">
        <f t="shared" si="43"/>
        <v>0</v>
      </c>
      <c r="P415" s="52" t="b">
        <f t="shared" si="44"/>
        <v>0</v>
      </c>
      <c r="Q415" s="52" t="b">
        <f t="shared" si="45"/>
        <v>0</v>
      </c>
      <c r="R415" s="52" t="b">
        <f t="shared" si="46"/>
        <v>0</v>
      </c>
      <c r="S415" s="52" t="b">
        <f t="shared" si="47"/>
        <v>0</v>
      </c>
      <c r="T415" s="52" t="b">
        <f t="shared" si="48"/>
        <v>0</v>
      </c>
    </row>
    <row r="416" spans="3:20" ht="22.5" x14ac:dyDescent="0.2">
      <c r="C416" s="36" t="s">
        <v>52</v>
      </c>
      <c r="D416" s="43"/>
      <c r="E416" s="44" t="s">
        <v>619</v>
      </c>
      <c r="F416" s="44" t="s">
        <v>57</v>
      </c>
      <c r="G416" s="44"/>
      <c r="H416" s="44"/>
      <c r="I416" s="44"/>
      <c r="J416" s="44"/>
      <c r="K416" s="44"/>
      <c r="L416" s="45"/>
      <c r="M416" s="45"/>
      <c r="N416" s="52">
        <f t="shared" si="42"/>
        <v>0</v>
      </c>
      <c r="O416" s="52" t="str">
        <f t="shared" si="43"/>
        <v>44.2 / 44.3</v>
      </c>
      <c r="P416" s="52" t="str">
        <f t="shared" si="44"/>
        <v>Расходы на реализацию в торговле / Управленческие расходы в торговле</v>
      </c>
      <c r="Q416" s="52">
        <f t="shared" si="45"/>
        <v>480</v>
      </c>
      <c r="R416" s="52" t="str">
        <f t="shared" si="46"/>
        <v>Оформление  корзин/Квартальная заявка/Операционные затраты</v>
      </c>
      <c r="S416" s="52" t="str">
        <f t="shared" si="47"/>
        <v>Элементы затрат</v>
      </c>
      <c r="T416" s="52" t="str">
        <f t="shared" si="48"/>
        <v>Оформление  корзин/Квартальная заявка/Операционные затраты</v>
      </c>
    </row>
    <row r="417" spans="3:20" ht="22.5" x14ac:dyDescent="0.2">
      <c r="C417" s="36" t="s">
        <v>1087</v>
      </c>
      <c r="D417" s="61" t="s">
        <v>125</v>
      </c>
      <c r="E417" s="61"/>
      <c r="F417" s="62" t="s">
        <v>126</v>
      </c>
      <c r="G417" s="62">
        <v>480</v>
      </c>
      <c r="H417" s="62" t="s">
        <v>619</v>
      </c>
      <c r="I417" s="62" t="s">
        <v>127</v>
      </c>
      <c r="J417" s="62" t="s">
        <v>128</v>
      </c>
      <c r="K417" s="62" t="s">
        <v>129</v>
      </c>
      <c r="L417" s="72"/>
      <c r="M417" s="73"/>
      <c r="N417" s="52" t="b">
        <f t="shared" si="42"/>
        <v>0</v>
      </c>
      <c r="O417" s="52" t="b">
        <f t="shared" si="43"/>
        <v>0</v>
      </c>
      <c r="P417" s="52" t="b">
        <f t="shared" si="44"/>
        <v>0</v>
      </c>
      <c r="Q417" s="52" t="b">
        <f t="shared" si="45"/>
        <v>0</v>
      </c>
      <c r="R417" s="52" t="b">
        <f t="shared" si="46"/>
        <v>0</v>
      </c>
      <c r="S417" s="52" t="b">
        <f t="shared" si="47"/>
        <v>0</v>
      </c>
      <c r="T417" s="52" t="b">
        <f t="shared" si="48"/>
        <v>0</v>
      </c>
    </row>
    <row r="418" spans="3:20" ht="22.5" x14ac:dyDescent="0.2">
      <c r="C418" s="36" t="s">
        <v>52</v>
      </c>
      <c r="D418" s="43"/>
      <c r="E418" s="44" t="s">
        <v>620</v>
      </c>
      <c r="F418" s="44" t="s">
        <v>57</v>
      </c>
      <c r="G418" s="44"/>
      <c r="H418" s="44"/>
      <c r="I418" s="44"/>
      <c r="J418" s="44"/>
      <c r="K418" s="44"/>
      <c r="L418" s="45"/>
      <c r="M418" s="45"/>
      <c r="N418" s="52">
        <f t="shared" si="42"/>
        <v>0</v>
      </c>
      <c r="O418" s="52" t="str">
        <f t="shared" si="43"/>
        <v>44.2 / 44.3</v>
      </c>
      <c r="P418" s="52" t="str">
        <f t="shared" si="44"/>
        <v>Расходы на реализацию в торговле / Управленческие расходы в торговле</v>
      </c>
      <c r="Q418" s="52">
        <f t="shared" si="45"/>
        <v>481</v>
      </c>
      <c r="R418" s="52" t="str">
        <f t="shared" si="46"/>
        <v>Х-баннера/Квартальная заявка/Операционные затраты</v>
      </c>
      <c r="S418" s="52" t="str">
        <f t="shared" si="47"/>
        <v>Элементы затрат</v>
      </c>
      <c r="T418" s="52" t="str">
        <f t="shared" si="48"/>
        <v>Х-баннера/Квартальная заявка/Операционные затраты</v>
      </c>
    </row>
    <row r="419" spans="3:20" ht="22.5" x14ac:dyDescent="0.2">
      <c r="C419" s="36" t="s">
        <v>1087</v>
      </c>
      <c r="D419" s="61" t="s">
        <v>125</v>
      </c>
      <c r="E419" s="61"/>
      <c r="F419" s="62" t="s">
        <v>126</v>
      </c>
      <c r="G419" s="62">
        <v>481</v>
      </c>
      <c r="H419" s="62" t="s">
        <v>620</v>
      </c>
      <c r="I419" s="62" t="s">
        <v>127</v>
      </c>
      <c r="J419" s="62" t="s">
        <v>128</v>
      </c>
      <c r="K419" s="62" t="s">
        <v>129</v>
      </c>
      <c r="L419" s="72"/>
      <c r="M419" s="73"/>
      <c r="N419" s="52" t="b">
        <f t="shared" si="42"/>
        <v>0</v>
      </c>
      <c r="O419" s="52" t="b">
        <f t="shared" si="43"/>
        <v>0</v>
      </c>
      <c r="P419" s="52" t="b">
        <f t="shared" si="44"/>
        <v>0</v>
      </c>
      <c r="Q419" s="52" t="b">
        <f t="shared" si="45"/>
        <v>0</v>
      </c>
      <c r="R419" s="52" t="b">
        <f t="shared" si="46"/>
        <v>0</v>
      </c>
      <c r="S419" s="52" t="b">
        <f t="shared" si="47"/>
        <v>0</v>
      </c>
      <c r="T419" s="52" t="b">
        <f t="shared" si="48"/>
        <v>0</v>
      </c>
    </row>
    <row r="420" spans="3:20" x14ac:dyDescent="0.2">
      <c r="C420" s="36" t="s">
        <v>52</v>
      </c>
      <c r="D420" s="46" t="s">
        <v>614</v>
      </c>
      <c r="E420" s="47" t="s">
        <v>621</v>
      </c>
      <c r="F420" s="47" t="s">
        <v>54</v>
      </c>
      <c r="G420" s="47"/>
      <c r="H420" s="47"/>
      <c r="I420" s="47"/>
      <c r="J420" s="47"/>
      <c r="K420" s="47"/>
      <c r="L420" s="48"/>
      <c r="M420" s="48"/>
      <c r="N420" s="52" t="str">
        <f t="shared" si="42"/>
        <v>30.8.1.2.</v>
      </c>
      <c r="O420" s="52" t="str">
        <f t="shared" si="43"/>
        <v>44.2 / 44.3</v>
      </c>
      <c r="P420" s="52" t="str">
        <f t="shared" si="44"/>
        <v>Расходы на реализацию в торговле / Управленческие расходы в торговле</v>
      </c>
      <c r="Q420" s="52">
        <f t="shared" si="45"/>
        <v>483</v>
      </c>
      <c r="R420" s="52" t="str">
        <f t="shared" si="46"/>
        <v>Оформление магазинов/Оформление магазинов/Операционные затраты</v>
      </c>
      <c r="S420" s="52" t="str">
        <f t="shared" si="47"/>
        <v>Элементы затрат</v>
      </c>
      <c r="T420" s="52" t="str">
        <f t="shared" si="48"/>
        <v>оформление магазинов</v>
      </c>
    </row>
    <row r="421" spans="3:20" ht="33.75" x14ac:dyDescent="0.2">
      <c r="C421" s="36" t="s">
        <v>1087</v>
      </c>
      <c r="D421" s="61" t="s">
        <v>125</v>
      </c>
      <c r="E421" s="61"/>
      <c r="F421" s="62" t="s">
        <v>126</v>
      </c>
      <c r="G421" s="62">
        <v>483</v>
      </c>
      <c r="H421" s="62" t="s">
        <v>622</v>
      </c>
      <c r="I421" s="62" t="s">
        <v>127</v>
      </c>
      <c r="J421" s="62" t="s">
        <v>128</v>
      </c>
      <c r="K421" s="62" t="s">
        <v>129</v>
      </c>
      <c r="L421" s="72"/>
      <c r="M421" s="73"/>
      <c r="N421" s="52" t="b">
        <f t="shared" si="42"/>
        <v>0</v>
      </c>
      <c r="O421" s="52" t="b">
        <f t="shared" si="43"/>
        <v>0</v>
      </c>
      <c r="P421" s="52" t="b">
        <f t="shared" si="44"/>
        <v>0</v>
      </c>
      <c r="Q421" s="52" t="b">
        <f t="shared" si="45"/>
        <v>0</v>
      </c>
      <c r="R421" s="52" t="b">
        <f t="shared" si="46"/>
        <v>0</v>
      </c>
      <c r="S421" s="52" t="b">
        <f t="shared" si="47"/>
        <v>0</v>
      </c>
      <c r="T421" s="52" t="b">
        <f t="shared" si="48"/>
        <v>0</v>
      </c>
    </row>
    <row r="422" spans="3:20" ht="22.5" x14ac:dyDescent="0.2">
      <c r="C422" s="36" t="s">
        <v>52</v>
      </c>
      <c r="D422" s="46" t="s">
        <v>616</v>
      </c>
      <c r="E422" s="47" t="s">
        <v>623</v>
      </c>
      <c r="F422" s="47" t="s">
        <v>54</v>
      </c>
      <c r="G422" s="47"/>
      <c r="H422" s="47"/>
      <c r="I422" s="47"/>
      <c r="J422" s="47"/>
      <c r="K422" s="47"/>
      <c r="L422" s="48"/>
      <c r="M422" s="48"/>
      <c r="N422" s="52" t="str">
        <f t="shared" si="42"/>
        <v>30.8.1.3.</v>
      </c>
      <c r="O422" s="52" t="str">
        <f t="shared" si="43"/>
        <v>44.2 / 44.3</v>
      </c>
      <c r="P422" s="52" t="str">
        <f t="shared" si="44"/>
        <v>Расходы на реализацию в торговле / Управленческие расходы в торговле</v>
      </c>
      <c r="Q422" s="52">
        <f t="shared" si="45"/>
        <v>485</v>
      </c>
      <c r="R422" s="52" t="str">
        <f t="shared" si="46"/>
        <v>Новогоднее оформление магазинов</v>
      </c>
      <c r="S422" s="52" t="str">
        <f t="shared" si="47"/>
        <v>Элементы затрат</v>
      </c>
      <c r="T422" s="52" t="str">
        <f t="shared" si="48"/>
        <v>Новогоднее оформление магазинов</v>
      </c>
    </row>
    <row r="423" spans="3:20" ht="22.5" x14ac:dyDescent="0.2">
      <c r="C423" s="36" t="s">
        <v>1087</v>
      </c>
      <c r="D423" s="61" t="s">
        <v>125</v>
      </c>
      <c r="E423" s="61"/>
      <c r="F423" s="62" t="s">
        <v>126</v>
      </c>
      <c r="G423" s="62">
        <v>485</v>
      </c>
      <c r="H423" s="62" t="s">
        <v>623</v>
      </c>
      <c r="I423" s="62" t="s">
        <v>127</v>
      </c>
      <c r="J423" s="62" t="s">
        <v>128</v>
      </c>
      <c r="K423" s="62" t="s">
        <v>129</v>
      </c>
      <c r="L423" s="72"/>
      <c r="M423" s="73"/>
      <c r="N423" s="52" t="b">
        <f t="shared" si="42"/>
        <v>0</v>
      </c>
      <c r="O423" s="52" t="b">
        <f t="shared" si="43"/>
        <v>0</v>
      </c>
      <c r="P423" s="52" t="b">
        <f t="shared" si="44"/>
        <v>0</v>
      </c>
      <c r="Q423" s="52" t="b">
        <f t="shared" si="45"/>
        <v>0</v>
      </c>
      <c r="R423" s="52" t="b">
        <f t="shared" si="46"/>
        <v>0</v>
      </c>
      <c r="S423" s="52" t="b">
        <f t="shared" si="47"/>
        <v>0</v>
      </c>
      <c r="T423" s="52" t="b">
        <f t="shared" si="48"/>
        <v>0</v>
      </c>
    </row>
    <row r="424" spans="3:20" x14ac:dyDescent="0.2">
      <c r="C424" s="36" t="s">
        <v>52</v>
      </c>
      <c r="D424" s="46" t="s">
        <v>624</v>
      </c>
      <c r="E424" s="47" t="s">
        <v>625</v>
      </c>
      <c r="F424" s="47" t="s">
        <v>54</v>
      </c>
      <c r="G424" s="47"/>
      <c r="H424" s="47"/>
      <c r="I424" s="47"/>
      <c r="J424" s="47"/>
      <c r="K424" s="47"/>
      <c r="L424" s="48"/>
      <c r="M424" s="48"/>
      <c r="N424" s="52" t="b">
        <f t="shared" si="42"/>
        <v>0</v>
      </c>
      <c r="O424" s="52" t="b">
        <f t="shared" si="43"/>
        <v>0</v>
      </c>
      <c r="P424" s="52" t="b">
        <f t="shared" si="44"/>
        <v>0</v>
      </c>
      <c r="Q424" s="52" t="b">
        <f t="shared" si="45"/>
        <v>0</v>
      </c>
      <c r="R424" s="52" t="b">
        <f t="shared" si="46"/>
        <v>0</v>
      </c>
      <c r="S424" s="52" t="b">
        <f t="shared" si="47"/>
        <v>0</v>
      </c>
      <c r="T424" s="52" t="b">
        <f t="shared" si="48"/>
        <v>0</v>
      </c>
    </row>
    <row r="425" spans="3:20" ht="33.75" x14ac:dyDescent="0.2">
      <c r="C425" s="36" t="s">
        <v>52</v>
      </c>
      <c r="D425" s="46" t="s">
        <v>626</v>
      </c>
      <c r="E425" s="47" t="s">
        <v>627</v>
      </c>
      <c r="F425" s="47"/>
      <c r="G425" s="47"/>
      <c r="H425" s="47"/>
      <c r="I425" s="47"/>
      <c r="J425" s="47"/>
      <c r="K425" s="47"/>
      <c r="L425" s="48"/>
      <c r="M425" s="48"/>
      <c r="N425" s="52" t="str">
        <f t="shared" si="42"/>
        <v>30.8.1.4.1.</v>
      </c>
      <c r="O425" s="52" t="str">
        <f t="shared" si="43"/>
        <v>44.2 / 44.3</v>
      </c>
      <c r="P425" s="52" t="str">
        <f t="shared" si="44"/>
        <v>Расходы на реализацию в торговле / Управленческие расходы в торговле</v>
      </c>
      <c r="Q425" s="52">
        <f t="shared" si="45"/>
        <v>487</v>
      </c>
      <c r="R425" s="52" t="str">
        <f t="shared" si="46"/>
        <v>Паспорта рекламы-вывески/Наружная реклама/Операционные затраты</v>
      </c>
      <c r="S425" s="52" t="str">
        <f t="shared" si="47"/>
        <v>Элементы затрат</v>
      </c>
      <c r="T425" s="52" t="str">
        <f t="shared" si="48"/>
        <v>Паспорта рекламы-вывески/Наружная реклама/Операционные затраты</v>
      </c>
    </row>
    <row r="426" spans="3:20" ht="33.75" x14ac:dyDescent="0.2">
      <c r="C426" s="36" t="s">
        <v>1087</v>
      </c>
      <c r="D426" s="61" t="s">
        <v>125</v>
      </c>
      <c r="E426" s="61"/>
      <c r="F426" s="62" t="s">
        <v>126</v>
      </c>
      <c r="G426" s="62">
        <v>487</v>
      </c>
      <c r="H426" s="62" t="s">
        <v>627</v>
      </c>
      <c r="I426" s="62" t="s">
        <v>127</v>
      </c>
      <c r="J426" s="62" t="s">
        <v>128</v>
      </c>
      <c r="K426" s="62" t="s">
        <v>129</v>
      </c>
      <c r="L426" s="72"/>
      <c r="M426" s="73"/>
      <c r="N426" s="52" t="b">
        <f t="shared" si="42"/>
        <v>0</v>
      </c>
      <c r="O426" s="52" t="b">
        <f t="shared" si="43"/>
        <v>0</v>
      </c>
      <c r="P426" s="52" t="b">
        <f t="shared" si="44"/>
        <v>0</v>
      </c>
      <c r="Q426" s="52" t="b">
        <f t="shared" si="45"/>
        <v>0</v>
      </c>
      <c r="R426" s="52" t="b">
        <f t="shared" si="46"/>
        <v>0</v>
      </c>
      <c r="S426" s="52" t="b">
        <f t="shared" si="47"/>
        <v>0</v>
      </c>
      <c r="T426" s="52" t="b">
        <f t="shared" si="48"/>
        <v>0</v>
      </c>
    </row>
    <row r="427" spans="3:20" ht="33.75" x14ac:dyDescent="0.2">
      <c r="C427" s="36" t="s">
        <v>52</v>
      </c>
      <c r="D427" s="46" t="s">
        <v>628</v>
      </c>
      <c r="E427" s="47" t="s">
        <v>629</v>
      </c>
      <c r="F427" s="47"/>
      <c r="G427" s="47"/>
      <c r="H427" s="47"/>
      <c r="I427" s="47"/>
      <c r="J427" s="47"/>
      <c r="K427" s="47"/>
      <c r="L427" s="48"/>
      <c r="M427" s="48"/>
      <c r="N427" s="52" t="str">
        <f t="shared" si="42"/>
        <v>30.8.1.4.2.</v>
      </c>
      <c r="O427" s="52" t="str">
        <f t="shared" si="43"/>
        <v>44.2 / 44.3</v>
      </c>
      <c r="P427" s="52" t="str">
        <f t="shared" si="44"/>
        <v>Расходы на реализацию в торговле / Управленческие расходы в торговле</v>
      </c>
      <c r="Q427" s="52">
        <f t="shared" si="45"/>
        <v>509</v>
      </c>
      <c r="R427" s="52" t="str">
        <f t="shared" si="46"/>
        <v>Паспорта рекламы-баннеры СП/Наружная реклама/Операционные затраты</v>
      </c>
      <c r="S427" s="52" t="str">
        <f t="shared" si="47"/>
        <v>Элементы затрат</v>
      </c>
      <c r="T427" s="52" t="str">
        <f t="shared" si="48"/>
        <v>Паспорта рекламы-баннеры СП/Наружная реклама/Операционные затраты</v>
      </c>
    </row>
    <row r="428" spans="3:20" ht="33.75" x14ac:dyDescent="0.2">
      <c r="C428" s="36" t="s">
        <v>1087</v>
      </c>
      <c r="D428" s="61" t="s">
        <v>125</v>
      </c>
      <c r="E428" s="61"/>
      <c r="F428" s="62" t="s">
        <v>126</v>
      </c>
      <c r="G428" s="62">
        <v>509</v>
      </c>
      <c r="H428" s="62" t="s">
        <v>629</v>
      </c>
      <c r="I428" s="62" t="s">
        <v>127</v>
      </c>
      <c r="J428" s="62" t="s">
        <v>128</v>
      </c>
      <c r="K428" s="62" t="s">
        <v>129</v>
      </c>
      <c r="L428" s="72"/>
      <c r="M428" s="73"/>
      <c r="N428" s="52" t="b">
        <f t="shared" si="42"/>
        <v>0</v>
      </c>
      <c r="O428" s="52" t="b">
        <f t="shared" si="43"/>
        <v>0</v>
      </c>
      <c r="P428" s="52" t="b">
        <f t="shared" si="44"/>
        <v>0</v>
      </c>
      <c r="Q428" s="52" t="b">
        <f t="shared" si="45"/>
        <v>0</v>
      </c>
      <c r="R428" s="52" t="b">
        <f t="shared" si="46"/>
        <v>0</v>
      </c>
      <c r="S428" s="52" t="b">
        <f t="shared" si="47"/>
        <v>0</v>
      </c>
      <c r="T428" s="52" t="b">
        <f t="shared" si="48"/>
        <v>0</v>
      </c>
    </row>
    <row r="429" spans="3:20" x14ac:dyDescent="0.2">
      <c r="C429" s="36" t="s">
        <v>52</v>
      </c>
      <c r="D429" s="43"/>
      <c r="E429" s="44" t="s">
        <v>630</v>
      </c>
      <c r="F429" s="44" t="s">
        <v>57</v>
      </c>
      <c r="G429" s="44"/>
      <c r="H429" s="44"/>
      <c r="I429" s="44"/>
      <c r="J429" s="44"/>
      <c r="K429" s="44"/>
      <c r="L429" s="45"/>
      <c r="M429" s="45"/>
      <c r="N429" s="52">
        <f t="shared" si="42"/>
        <v>0</v>
      </c>
      <c r="O429" s="52" t="str">
        <f t="shared" si="43"/>
        <v>44.2 / 44.3</v>
      </c>
      <c r="P429" s="52" t="str">
        <f t="shared" si="44"/>
        <v>Расходы на реализацию в торговле / Управленческие расходы в торговле</v>
      </c>
      <c r="Q429" s="52">
        <f t="shared" si="45"/>
        <v>528</v>
      </c>
      <c r="R429" s="52" t="str">
        <f t="shared" si="46"/>
        <v>Баннер на фасаде магазина</v>
      </c>
      <c r="S429" s="52" t="str">
        <f t="shared" si="47"/>
        <v>Элементы затрат</v>
      </c>
      <c r="T429" s="52" t="str">
        <f t="shared" si="48"/>
        <v>Баннер на фасаде магазина</v>
      </c>
    </row>
    <row r="430" spans="3:20" ht="22.5" x14ac:dyDescent="0.2">
      <c r="C430" s="36" t="s">
        <v>1087</v>
      </c>
      <c r="D430" s="61" t="s">
        <v>125</v>
      </c>
      <c r="E430" s="61"/>
      <c r="F430" s="62" t="s">
        <v>126</v>
      </c>
      <c r="G430" s="62">
        <v>528</v>
      </c>
      <c r="H430" s="62" t="s">
        <v>630</v>
      </c>
      <c r="I430" s="62" t="s">
        <v>127</v>
      </c>
      <c r="J430" s="62" t="s">
        <v>128</v>
      </c>
      <c r="K430" s="62" t="s">
        <v>129</v>
      </c>
      <c r="L430" s="72"/>
      <c r="M430" s="73"/>
      <c r="N430" s="52" t="b">
        <f t="shared" si="42"/>
        <v>0</v>
      </c>
      <c r="O430" s="52" t="b">
        <f t="shared" si="43"/>
        <v>0</v>
      </c>
      <c r="P430" s="52" t="b">
        <f t="shared" si="44"/>
        <v>0</v>
      </c>
      <c r="Q430" s="52" t="b">
        <f t="shared" si="45"/>
        <v>0</v>
      </c>
      <c r="R430" s="52" t="b">
        <f t="shared" si="46"/>
        <v>0</v>
      </c>
      <c r="S430" s="52" t="b">
        <f t="shared" si="47"/>
        <v>0</v>
      </c>
      <c r="T430" s="52" t="b">
        <f t="shared" si="48"/>
        <v>0</v>
      </c>
    </row>
    <row r="431" spans="3:20" ht="22.5" x14ac:dyDescent="0.2">
      <c r="C431" s="36" t="s">
        <v>52</v>
      </c>
      <c r="D431" s="43" t="s">
        <v>631</v>
      </c>
      <c r="E431" s="44" t="s">
        <v>632</v>
      </c>
      <c r="F431" s="44" t="s">
        <v>57</v>
      </c>
      <c r="G431" s="44"/>
      <c r="H431" s="44"/>
      <c r="I431" s="44"/>
      <c r="J431" s="44"/>
      <c r="K431" s="44"/>
      <c r="L431" s="45"/>
      <c r="M431" s="45" t="s">
        <v>633</v>
      </c>
      <c r="N431" s="52" t="str">
        <f t="shared" si="42"/>
        <v>30.8.1.5.</v>
      </c>
      <c r="O431" s="52" t="str">
        <f t="shared" si="43"/>
        <v>44.2 / 44.3</v>
      </c>
      <c r="P431" s="52" t="str">
        <f t="shared" si="44"/>
        <v>Расходы на реализацию в торговле / Управленческие расходы в торговле</v>
      </c>
      <c r="Q431" s="52">
        <f t="shared" si="45"/>
        <v>537</v>
      </c>
      <c r="R431" s="52" t="str">
        <f t="shared" si="46"/>
        <v>Ай да цена(поддержка МПВ)/Трейд-маркетинг/Операционные затраты</v>
      </c>
      <c r="S431" s="52" t="str">
        <f t="shared" si="47"/>
        <v>Элементы затрат</v>
      </c>
      <c r="T431" s="52" t="str">
        <f t="shared" si="48"/>
        <v>трейд-маркетинг</v>
      </c>
    </row>
    <row r="432" spans="3:20" ht="22.5" x14ac:dyDescent="0.2">
      <c r="C432" s="36" t="s">
        <v>1087</v>
      </c>
      <c r="D432" s="61" t="s">
        <v>125</v>
      </c>
      <c r="E432" s="61"/>
      <c r="F432" s="62" t="s">
        <v>126</v>
      </c>
      <c r="G432" s="62">
        <v>537</v>
      </c>
      <c r="H432" s="62" t="s">
        <v>634</v>
      </c>
      <c r="I432" s="62" t="s">
        <v>127</v>
      </c>
      <c r="J432" s="62" t="s">
        <v>128</v>
      </c>
      <c r="K432" s="62" t="s">
        <v>129</v>
      </c>
      <c r="L432" s="72"/>
      <c r="M432" s="73"/>
      <c r="N432" s="52" t="b">
        <f t="shared" si="42"/>
        <v>0</v>
      </c>
      <c r="O432" s="52" t="b">
        <f t="shared" si="43"/>
        <v>0</v>
      </c>
      <c r="P432" s="52" t="b">
        <f t="shared" si="44"/>
        <v>0</v>
      </c>
      <c r="Q432" s="52" t="b">
        <f t="shared" si="45"/>
        <v>0</v>
      </c>
      <c r="R432" s="52" t="b">
        <f t="shared" si="46"/>
        <v>0</v>
      </c>
      <c r="S432" s="52" t="b">
        <f t="shared" si="47"/>
        <v>0</v>
      </c>
      <c r="T432" s="52" t="b">
        <f t="shared" si="48"/>
        <v>0</v>
      </c>
    </row>
    <row r="433" spans="3:20" ht="33.75" x14ac:dyDescent="0.2">
      <c r="C433" s="36" t="s">
        <v>52</v>
      </c>
      <c r="D433" s="43" t="s">
        <v>635</v>
      </c>
      <c r="E433" s="44" t="s">
        <v>636</v>
      </c>
      <c r="F433" s="44" t="s">
        <v>57</v>
      </c>
      <c r="G433" s="44"/>
      <c r="H433" s="44"/>
      <c r="I433" s="44"/>
      <c r="J433" s="44"/>
      <c r="K433" s="44"/>
      <c r="L433" s="45"/>
      <c r="M433" s="45" t="s">
        <v>637</v>
      </c>
      <c r="N433" s="52" t="str">
        <f t="shared" si="42"/>
        <v>30.8.1.6.</v>
      </c>
      <c r="O433" s="52" t="str">
        <f t="shared" si="43"/>
        <v>44.2 / 44.3</v>
      </c>
      <c r="P433" s="52" t="str">
        <f t="shared" si="44"/>
        <v>Расходы на реализацию в торговле / Управленческие расходы в торговле</v>
      </c>
      <c r="Q433" s="52">
        <f t="shared" si="45"/>
        <v>539</v>
      </c>
      <c r="R433" s="52" t="str">
        <f t="shared" si="46"/>
        <v>Замена карт/рассылка/Лояльность/Операционные затраты</v>
      </c>
      <c r="S433" s="52" t="str">
        <f t="shared" si="47"/>
        <v>Элементы затрат</v>
      </c>
      <c r="T433" s="52" t="str">
        <f t="shared" si="48"/>
        <v>лояльность</v>
      </c>
    </row>
    <row r="434" spans="3:20" ht="33.75" x14ac:dyDescent="0.2">
      <c r="C434" s="36" t="s">
        <v>1087</v>
      </c>
      <c r="D434" s="61" t="s">
        <v>125</v>
      </c>
      <c r="E434" s="61"/>
      <c r="F434" s="62" t="s">
        <v>126</v>
      </c>
      <c r="G434" s="62">
        <v>539</v>
      </c>
      <c r="H434" s="62" t="s">
        <v>638</v>
      </c>
      <c r="I434" s="62" t="s">
        <v>127</v>
      </c>
      <c r="J434" s="62" t="s">
        <v>128</v>
      </c>
      <c r="K434" s="62" t="s">
        <v>129</v>
      </c>
      <c r="L434" s="72"/>
      <c r="M434" s="73"/>
      <c r="N434" s="52" t="b">
        <f t="shared" si="42"/>
        <v>0</v>
      </c>
      <c r="O434" s="52" t="b">
        <f t="shared" si="43"/>
        <v>0</v>
      </c>
      <c r="P434" s="52" t="b">
        <f t="shared" si="44"/>
        <v>0</v>
      </c>
      <c r="Q434" s="52" t="b">
        <f t="shared" si="45"/>
        <v>0</v>
      </c>
      <c r="R434" s="52" t="b">
        <f t="shared" si="46"/>
        <v>0</v>
      </c>
      <c r="S434" s="52" t="b">
        <f t="shared" si="47"/>
        <v>0</v>
      </c>
      <c r="T434" s="52" t="b">
        <f t="shared" si="48"/>
        <v>0</v>
      </c>
    </row>
    <row r="435" spans="3:20" x14ac:dyDescent="0.2">
      <c r="C435" s="56" t="s">
        <v>52</v>
      </c>
      <c r="D435" s="74"/>
      <c r="E435" s="75" t="s">
        <v>639</v>
      </c>
      <c r="F435" s="75" t="s">
        <v>57</v>
      </c>
      <c r="G435" s="75"/>
      <c r="H435" s="75"/>
      <c r="I435" s="75"/>
      <c r="J435" s="75"/>
      <c r="K435" s="75"/>
      <c r="L435" s="76"/>
      <c r="M435" s="76" t="s">
        <v>11</v>
      </c>
      <c r="N435" s="52" t="b">
        <f t="shared" si="42"/>
        <v>0</v>
      </c>
      <c r="O435" s="52" t="b">
        <f t="shared" si="43"/>
        <v>0</v>
      </c>
      <c r="P435" s="52" t="b">
        <f t="shared" si="44"/>
        <v>0</v>
      </c>
      <c r="Q435" s="52" t="b">
        <f t="shared" si="45"/>
        <v>0</v>
      </c>
      <c r="R435" s="52" t="b">
        <f t="shared" si="46"/>
        <v>0</v>
      </c>
      <c r="S435" s="52" t="b">
        <f t="shared" si="47"/>
        <v>0</v>
      </c>
      <c r="T435" s="52" t="b">
        <f t="shared" si="48"/>
        <v>0</v>
      </c>
    </row>
    <row r="436" spans="3:20" ht="22.5" x14ac:dyDescent="0.2">
      <c r="C436" s="56" t="s">
        <v>52</v>
      </c>
      <c r="D436" s="40"/>
      <c r="E436" s="41" t="s">
        <v>640</v>
      </c>
      <c r="F436" s="41" t="s">
        <v>57</v>
      </c>
      <c r="G436" s="41"/>
      <c r="H436" s="41"/>
      <c r="I436" s="41"/>
      <c r="J436" s="41"/>
      <c r="K436" s="41"/>
      <c r="L436" s="42"/>
      <c r="M436" s="42" t="s">
        <v>11</v>
      </c>
      <c r="N436" s="52" t="b">
        <f t="shared" si="42"/>
        <v>0</v>
      </c>
      <c r="O436" s="52" t="b">
        <f t="shared" si="43"/>
        <v>0</v>
      </c>
      <c r="P436" s="52" t="b">
        <f t="shared" si="44"/>
        <v>0</v>
      </c>
      <c r="Q436" s="52" t="b">
        <f t="shared" si="45"/>
        <v>0</v>
      </c>
      <c r="R436" s="52" t="b">
        <f t="shared" si="46"/>
        <v>0</v>
      </c>
      <c r="S436" s="52" t="b">
        <f t="shared" si="47"/>
        <v>0</v>
      </c>
      <c r="T436" s="52" t="b">
        <f t="shared" si="48"/>
        <v>0</v>
      </c>
    </row>
    <row r="437" spans="3:20" ht="22.5" x14ac:dyDescent="0.2">
      <c r="C437" s="56" t="s">
        <v>52</v>
      </c>
      <c r="D437" s="40"/>
      <c r="E437" s="41" t="s">
        <v>641</v>
      </c>
      <c r="F437" s="41" t="s">
        <v>57</v>
      </c>
      <c r="G437" s="41"/>
      <c r="H437" s="41"/>
      <c r="I437" s="41"/>
      <c r="J437" s="41"/>
      <c r="K437" s="41"/>
      <c r="L437" s="42"/>
      <c r="M437" s="42" t="s">
        <v>11</v>
      </c>
      <c r="N437" s="52" t="b">
        <f t="shared" si="42"/>
        <v>0</v>
      </c>
      <c r="O437" s="52" t="b">
        <f t="shared" si="43"/>
        <v>0</v>
      </c>
      <c r="P437" s="52" t="b">
        <f t="shared" si="44"/>
        <v>0</v>
      </c>
      <c r="Q437" s="52" t="b">
        <f t="shared" si="45"/>
        <v>0</v>
      </c>
      <c r="R437" s="52" t="b">
        <f t="shared" si="46"/>
        <v>0</v>
      </c>
      <c r="S437" s="52" t="b">
        <f t="shared" si="47"/>
        <v>0</v>
      </c>
      <c r="T437" s="52" t="b">
        <f t="shared" si="48"/>
        <v>0</v>
      </c>
    </row>
    <row r="438" spans="3:20" x14ac:dyDescent="0.2">
      <c r="C438" s="56" t="s">
        <v>52</v>
      </c>
      <c r="D438" s="74">
        <v>31</v>
      </c>
      <c r="E438" s="75" t="s">
        <v>95</v>
      </c>
      <c r="F438" s="75" t="s">
        <v>57</v>
      </c>
      <c r="G438" s="75"/>
      <c r="H438" s="75"/>
      <c r="I438" s="75"/>
      <c r="J438" s="75"/>
      <c r="K438" s="75"/>
      <c r="L438" s="76"/>
      <c r="M438" s="76" t="s">
        <v>11</v>
      </c>
      <c r="N438" s="52" t="b">
        <f t="shared" si="42"/>
        <v>0</v>
      </c>
      <c r="O438" s="52" t="b">
        <f t="shared" si="43"/>
        <v>0</v>
      </c>
      <c r="P438" s="52" t="b">
        <f t="shared" si="44"/>
        <v>0</v>
      </c>
      <c r="Q438" s="52" t="b">
        <f t="shared" si="45"/>
        <v>0</v>
      </c>
      <c r="R438" s="52" t="b">
        <f t="shared" si="46"/>
        <v>0</v>
      </c>
      <c r="S438" s="52" t="b">
        <f t="shared" si="47"/>
        <v>0</v>
      </c>
      <c r="T438" s="52" t="b">
        <f t="shared" si="48"/>
        <v>0</v>
      </c>
    </row>
    <row r="439" spans="3:20" ht="22.5" x14ac:dyDescent="0.2">
      <c r="C439" s="56" t="s">
        <v>52</v>
      </c>
      <c r="D439" s="37">
        <v>32</v>
      </c>
      <c r="E439" s="38" t="s">
        <v>642</v>
      </c>
      <c r="F439" s="38"/>
      <c r="G439" s="38"/>
      <c r="H439" s="38"/>
      <c r="I439" s="38"/>
      <c r="J439" s="38"/>
      <c r="K439" s="38"/>
      <c r="L439" s="39"/>
      <c r="M439" s="39" t="s">
        <v>643</v>
      </c>
      <c r="N439" s="52" t="b">
        <f t="shared" si="42"/>
        <v>0</v>
      </c>
      <c r="O439" s="52" t="b">
        <f t="shared" si="43"/>
        <v>0</v>
      </c>
      <c r="P439" s="52" t="b">
        <f t="shared" si="44"/>
        <v>0</v>
      </c>
      <c r="Q439" s="52" t="b">
        <f t="shared" si="45"/>
        <v>0</v>
      </c>
      <c r="R439" s="52" t="b">
        <f t="shared" si="46"/>
        <v>0</v>
      </c>
      <c r="S439" s="52" t="b">
        <f t="shared" si="47"/>
        <v>0</v>
      </c>
      <c r="T439" s="52" t="b">
        <f t="shared" si="48"/>
        <v>0</v>
      </c>
    </row>
    <row r="440" spans="3:20" x14ac:dyDescent="0.2">
      <c r="C440" s="56" t="s">
        <v>52</v>
      </c>
      <c r="D440" s="46" t="s">
        <v>644</v>
      </c>
      <c r="E440" s="47" t="s">
        <v>19</v>
      </c>
      <c r="F440" s="47"/>
      <c r="G440" s="47"/>
      <c r="H440" s="47"/>
      <c r="I440" s="47"/>
      <c r="J440" s="47"/>
      <c r="K440" s="47"/>
      <c r="L440" s="48"/>
      <c r="M440" s="48" t="s">
        <v>645</v>
      </c>
      <c r="N440" s="52" t="b">
        <f t="shared" si="42"/>
        <v>0</v>
      </c>
      <c r="O440" s="52" t="b">
        <f t="shared" si="43"/>
        <v>0</v>
      </c>
      <c r="P440" s="52" t="b">
        <f t="shared" si="44"/>
        <v>0</v>
      </c>
      <c r="Q440" s="52" t="b">
        <f t="shared" si="45"/>
        <v>0</v>
      </c>
      <c r="R440" s="52" t="b">
        <f t="shared" si="46"/>
        <v>0</v>
      </c>
      <c r="S440" s="52" t="b">
        <f t="shared" si="47"/>
        <v>0</v>
      </c>
      <c r="T440" s="52" t="b">
        <f t="shared" si="48"/>
        <v>0</v>
      </c>
    </row>
    <row r="441" spans="3:20" ht="22.5" hidden="1" x14ac:dyDescent="0.2">
      <c r="C441" s="35"/>
      <c r="D441" s="35" t="s">
        <v>98</v>
      </c>
      <c r="E441" s="35" t="s">
        <v>99</v>
      </c>
      <c r="F441" s="35" t="s">
        <v>100</v>
      </c>
      <c r="G441" s="35" t="s">
        <v>101</v>
      </c>
      <c r="H441" s="35" t="s">
        <v>102</v>
      </c>
      <c r="I441" s="35" t="s">
        <v>103</v>
      </c>
      <c r="J441" s="35" t="s">
        <v>104</v>
      </c>
      <c r="K441" s="35" t="s">
        <v>105</v>
      </c>
      <c r="L441" s="35" t="s">
        <v>106</v>
      </c>
      <c r="M441" s="35" t="s">
        <v>107</v>
      </c>
      <c r="N441" s="52" t="b">
        <f t="shared" si="42"/>
        <v>0</v>
      </c>
      <c r="O441" s="52" t="b">
        <f t="shared" si="43"/>
        <v>0</v>
      </c>
      <c r="P441" s="52" t="b">
        <f t="shared" si="44"/>
        <v>0</v>
      </c>
      <c r="Q441" s="52" t="b">
        <f t="shared" si="45"/>
        <v>0</v>
      </c>
      <c r="R441" s="52" t="b">
        <f t="shared" si="46"/>
        <v>0</v>
      </c>
      <c r="S441" s="52" t="b">
        <f t="shared" si="47"/>
        <v>0</v>
      </c>
      <c r="T441" s="52" t="b">
        <f t="shared" si="48"/>
        <v>0</v>
      </c>
    </row>
    <row r="442" spans="3:20" ht="22.5" x14ac:dyDescent="0.2">
      <c r="C442" s="36" t="s">
        <v>52</v>
      </c>
      <c r="D442" s="37">
        <v>33</v>
      </c>
      <c r="E442" s="38" t="s">
        <v>646</v>
      </c>
      <c r="F442" s="38"/>
      <c r="G442" s="38"/>
      <c r="H442" s="38"/>
      <c r="I442" s="38"/>
      <c r="J442" s="38"/>
      <c r="K442" s="38"/>
      <c r="L442" s="38"/>
      <c r="M442" s="39" t="s">
        <v>647</v>
      </c>
      <c r="N442" s="52" t="b">
        <f t="shared" si="42"/>
        <v>0</v>
      </c>
      <c r="O442" s="52" t="b">
        <f t="shared" si="43"/>
        <v>0</v>
      </c>
      <c r="P442" s="52" t="b">
        <f t="shared" si="44"/>
        <v>0</v>
      </c>
      <c r="Q442" s="52" t="b">
        <f t="shared" si="45"/>
        <v>0</v>
      </c>
      <c r="R442" s="52" t="b">
        <f t="shared" si="46"/>
        <v>0</v>
      </c>
      <c r="S442" s="52" t="b">
        <f t="shared" si="47"/>
        <v>0</v>
      </c>
      <c r="T442" s="52" t="b">
        <f t="shared" si="48"/>
        <v>0</v>
      </c>
    </row>
    <row r="443" spans="3:20" ht="22.5" x14ac:dyDescent="0.2">
      <c r="C443" s="36" t="s">
        <v>52</v>
      </c>
      <c r="D443" s="46" t="s">
        <v>648</v>
      </c>
      <c r="E443" s="47" t="s">
        <v>649</v>
      </c>
      <c r="F443" s="47"/>
      <c r="G443" s="47"/>
      <c r="H443" s="47"/>
      <c r="I443" s="47"/>
      <c r="J443" s="47"/>
      <c r="K443" s="47"/>
      <c r="L443" s="44" t="s">
        <v>650</v>
      </c>
      <c r="M443" s="48"/>
      <c r="N443" s="52" t="b">
        <f t="shared" si="42"/>
        <v>0</v>
      </c>
      <c r="O443" s="52" t="b">
        <f t="shared" si="43"/>
        <v>0</v>
      </c>
      <c r="P443" s="52" t="b">
        <f t="shared" si="44"/>
        <v>0</v>
      </c>
      <c r="Q443" s="52" t="b">
        <f t="shared" si="45"/>
        <v>0</v>
      </c>
      <c r="R443" s="52" t="b">
        <f t="shared" si="46"/>
        <v>0</v>
      </c>
      <c r="S443" s="52" t="b">
        <f t="shared" si="47"/>
        <v>0</v>
      </c>
      <c r="T443" s="52" t="b">
        <f t="shared" si="48"/>
        <v>0</v>
      </c>
    </row>
    <row r="444" spans="3:20" x14ac:dyDescent="0.2">
      <c r="C444" s="36" t="s">
        <v>52</v>
      </c>
      <c r="D444" s="46" t="s">
        <v>651</v>
      </c>
      <c r="E444" s="47" t="s">
        <v>652</v>
      </c>
      <c r="F444" s="47"/>
      <c r="G444" s="47"/>
      <c r="H444" s="47"/>
      <c r="I444" s="47"/>
      <c r="J444" s="47"/>
      <c r="K444" s="47"/>
      <c r="L444" s="48"/>
      <c r="M444" s="48"/>
      <c r="N444" s="52" t="str">
        <f t="shared" si="42"/>
        <v>33.1.1.</v>
      </c>
      <c r="O444" s="52" t="str">
        <f t="shared" si="43"/>
        <v>44.2 / 44.3</v>
      </c>
      <c r="P444" s="52" t="str">
        <f t="shared" si="44"/>
        <v>Расходы на реализацию в торговле / Управленческие расходы в торговле</v>
      </c>
      <c r="Q444" s="52">
        <f t="shared" si="45"/>
        <v>29</v>
      </c>
      <c r="R444" s="52" t="str">
        <f t="shared" si="46"/>
        <v>Аренда магазинов</v>
      </c>
      <c r="S444" s="52" t="str">
        <f t="shared" si="47"/>
        <v>Элементы затрат</v>
      </c>
      <c r="T444" s="52" t="str">
        <f t="shared" si="48"/>
        <v>Аренда магазинов</v>
      </c>
    </row>
    <row r="445" spans="3:20" ht="22.5" x14ac:dyDescent="0.2">
      <c r="C445" s="36" t="s">
        <v>1087</v>
      </c>
      <c r="D445" s="61" t="s">
        <v>125</v>
      </c>
      <c r="E445" s="61"/>
      <c r="F445" s="62" t="s">
        <v>126</v>
      </c>
      <c r="G445" s="62">
        <v>29</v>
      </c>
      <c r="H445" s="62" t="s">
        <v>652</v>
      </c>
      <c r="I445" s="62" t="s">
        <v>127</v>
      </c>
      <c r="J445" s="62" t="s">
        <v>128</v>
      </c>
      <c r="K445" s="62" t="s">
        <v>129</v>
      </c>
      <c r="L445" s="72"/>
      <c r="M445" s="73"/>
      <c r="N445" s="52" t="b">
        <f t="shared" si="42"/>
        <v>0</v>
      </c>
      <c r="O445" s="52" t="b">
        <f t="shared" si="43"/>
        <v>0</v>
      </c>
      <c r="P445" s="52" t="b">
        <f t="shared" si="44"/>
        <v>0</v>
      </c>
      <c r="Q445" s="52" t="b">
        <f t="shared" si="45"/>
        <v>0</v>
      </c>
      <c r="R445" s="52" t="b">
        <f t="shared" si="46"/>
        <v>0</v>
      </c>
      <c r="S445" s="52" t="b">
        <f t="shared" si="47"/>
        <v>0</v>
      </c>
      <c r="T445" s="52" t="b">
        <f t="shared" si="48"/>
        <v>0</v>
      </c>
    </row>
    <row r="446" spans="3:20" x14ac:dyDescent="0.2">
      <c r="C446" s="36" t="s">
        <v>52</v>
      </c>
      <c r="D446" s="46" t="s">
        <v>653</v>
      </c>
      <c r="E446" s="47" t="s">
        <v>654</v>
      </c>
      <c r="F446" s="47"/>
      <c r="G446" s="47"/>
      <c r="H446" s="47"/>
      <c r="I446" s="47"/>
      <c r="J446" s="47"/>
      <c r="K446" s="47"/>
      <c r="L446" s="48"/>
      <c r="M446" s="48"/>
      <c r="N446" s="52" t="str">
        <f t="shared" si="42"/>
        <v>33.1.2.</v>
      </c>
      <c r="O446" s="52" t="str">
        <f t="shared" si="43"/>
        <v>44.2 / 44.3</v>
      </c>
      <c r="P446" s="52" t="str">
        <f t="shared" si="44"/>
        <v>Расходы на реализацию в торговле / Управленческие расходы в торговле</v>
      </c>
      <c r="Q446" s="52">
        <f t="shared" si="45"/>
        <v>31</v>
      </c>
      <c r="R446" s="52" t="str">
        <f t="shared" si="46"/>
        <v>Аренда офисов</v>
      </c>
      <c r="S446" s="52" t="str">
        <f t="shared" si="47"/>
        <v>Элементы затрат</v>
      </c>
      <c r="T446" s="52" t="str">
        <f t="shared" si="48"/>
        <v>Аренда офисов</v>
      </c>
    </row>
    <row r="447" spans="3:20" ht="22.5" x14ac:dyDescent="0.2">
      <c r="C447" s="36" t="s">
        <v>1087</v>
      </c>
      <c r="D447" s="61" t="s">
        <v>125</v>
      </c>
      <c r="E447" s="61"/>
      <c r="F447" s="62" t="s">
        <v>126</v>
      </c>
      <c r="G447" s="62">
        <v>31</v>
      </c>
      <c r="H447" s="62" t="s">
        <v>654</v>
      </c>
      <c r="I447" s="62" t="s">
        <v>127</v>
      </c>
      <c r="J447" s="62" t="s">
        <v>128</v>
      </c>
      <c r="K447" s="62" t="s">
        <v>129</v>
      </c>
      <c r="L447" s="72"/>
      <c r="M447" s="73"/>
      <c r="N447" s="52" t="b">
        <f t="shared" si="42"/>
        <v>0</v>
      </c>
      <c r="O447" s="52" t="b">
        <f t="shared" si="43"/>
        <v>0</v>
      </c>
      <c r="P447" s="52" t="b">
        <f t="shared" si="44"/>
        <v>0</v>
      </c>
      <c r="Q447" s="52" t="b">
        <f t="shared" si="45"/>
        <v>0</v>
      </c>
      <c r="R447" s="52" t="b">
        <f t="shared" si="46"/>
        <v>0</v>
      </c>
      <c r="S447" s="52" t="b">
        <f t="shared" si="47"/>
        <v>0</v>
      </c>
      <c r="T447" s="52" t="b">
        <f t="shared" si="48"/>
        <v>0</v>
      </c>
    </row>
    <row r="448" spans="3:20" x14ac:dyDescent="0.2">
      <c r="C448" s="36" t="s">
        <v>52</v>
      </c>
      <c r="D448" s="46" t="s">
        <v>655</v>
      </c>
      <c r="E448" s="47" t="s">
        <v>656</v>
      </c>
      <c r="F448" s="47"/>
      <c r="G448" s="47"/>
      <c r="H448" s="47"/>
      <c r="I448" s="47"/>
      <c r="J448" s="47"/>
      <c r="K448" s="47"/>
      <c r="L448" s="48"/>
      <c r="M448" s="48"/>
      <c r="N448" s="52" t="str">
        <f t="shared" si="42"/>
        <v>33.1.3.</v>
      </c>
      <c r="O448" s="52" t="str">
        <f t="shared" si="43"/>
        <v>44.2 / 44.3</v>
      </c>
      <c r="P448" s="52" t="str">
        <f t="shared" si="44"/>
        <v>Расходы на реализацию в торговле / Управленческие расходы в торговле</v>
      </c>
      <c r="Q448" s="52">
        <f t="shared" si="45"/>
        <v>241</v>
      </c>
      <c r="R448" s="52" t="str">
        <f t="shared" si="46"/>
        <v>Аренда складов</v>
      </c>
      <c r="S448" s="52" t="str">
        <f t="shared" si="47"/>
        <v>Элементы затрат</v>
      </c>
      <c r="T448" s="52" t="str">
        <f t="shared" si="48"/>
        <v>Аренда складов</v>
      </c>
    </row>
    <row r="449" spans="3:20" ht="22.5" x14ac:dyDescent="0.2">
      <c r="C449" s="36" t="s">
        <v>1087</v>
      </c>
      <c r="D449" s="61" t="s">
        <v>125</v>
      </c>
      <c r="E449" s="61"/>
      <c r="F449" s="62" t="s">
        <v>126</v>
      </c>
      <c r="G449" s="62">
        <v>241</v>
      </c>
      <c r="H449" s="62" t="s">
        <v>656</v>
      </c>
      <c r="I449" s="62" t="s">
        <v>127</v>
      </c>
      <c r="J449" s="62" t="s">
        <v>128</v>
      </c>
      <c r="K449" s="62" t="s">
        <v>129</v>
      </c>
      <c r="L449" s="72"/>
      <c r="M449" s="73"/>
      <c r="N449" s="52" t="b">
        <f t="shared" si="42"/>
        <v>0</v>
      </c>
      <c r="O449" s="52" t="b">
        <f t="shared" si="43"/>
        <v>0</v>
      </c>
      <c r="P449" s="52" t="b">
        <f t="shared" si="44"/>
        <v>0</v>
      </c>
      <c r="Q449" s="52" t="b">
        <f t="shared" si="45"/>
        <v>0</v>
      </c>
      <c r="R449" s="52" t="b">
        <f t="shared" si="46"/>
        <v>0</v>
      </c>
      <c r="S449" s="52" t="b">
        <f t="shared" si="47"/>
        <v>0</v>
      </c>
      <c r="T449" s="52" t="b">
        <f t="shared" si="48"/>
        <v>0</v>
      </c>
    </row>
    <row r="450" spans="3:20" x14ac:dyDescent="0.2">
      <c r="C450" s="36" t="s">
        <v>52</v>
      </c>
      <c r="D450" s="43" t="s">
        <v>657</v>
      </c>
      <c r="E450" s="44" t="s">
        <v>658</v>
      </c>
      <c r="F450" s="44" t="s">
        <v>57</v>
      </c>
      <c r="G450" s="44"/>
      <c r="H450" s="44"/>
      <c r="I450" s="44"/>
      <c r="J450" s="44"/>
      <c r="K450" s="44"/>
      <c r="L450" s="45"/>
      <c r="M450" s="45"/>
      <c r="N450" s="52" t="str">
        <f t="shared" si="42"/>
        <v>33.1.4.</v>
      </c>
      <c r="O450" s="52" t="str">
        <f t="shared" si="43"/>
        <v>44.2 / 44.3</v>
      </c>
      <c r="P450" s="52" t="str">
        <f t="shared" si="44"/>
        <v>Расходы на реализацию в торговле / Управленческие расходы в торговле</v>
      </c>
      <c r="Q450" s="52">
        <f t="shared" si="45"/>
        <v>28</v>
      </c>
      <c r="R450" s="52" t="str">
        <f t="shared" si="46"/>
        <v>Аренда</v>
      </c>
      <c r="S450" s="52" t="str">
        <f t="shared" si="47"/>
        <v>Элементы затрат</v>
      </c>
      <c r="T450" s="52" t="str">
        <f t="shared" si="48"/>
        <v>Аренда</v>
      </c>
    </row>
    <row r="451" spans="3:20" ht="22.5" x14ac:dyDescent="0.2">
      <c r="C451" s="36" t="s">
        <v>1087</v>
      </c>
      <c r="D451" s="61" t="s">
        <v>125</v>
      </c>
      <c r="E451" s="61"/>
      <c r="F451" s="62" t="s">
        <v>126</v>
      </c>
      <c r="G451" s="62">
        <v>28</v>
      </c>
      <c r="H451" s="62" t="s">
        <v>658</v>
      </c>
      <c r="I451" s="62" t="s">
        <v>127</v>
      </c>
      <c r="J451" s="62" t="s">
        <v>128</v>
      </c>
      <c r="K451" s="62" t="s">
        <v>129</v>
      </c>
      <c r="L451" s="72"/>
      <c r="M451" s="73"/>
      <c r="N451" s="52" t="b">
        <f t="shared" ref="N451:N514" si="49">IF(AND($C451="Упр", $C452="1s"), D451)</f>
        <v>0</v>
      </c>
      <c r="O451" s="52" t="b">
        <f t="shared" ref="O451:O514" si="50">IF(AND($C451="Упр", $C452="1s"), D452)</f>
        <v>0</v>
      </c>
      <c r="P451" s="52" t="b">
        <f t="shared" ref="P451:P514" si="51">IF(AND($C451="Упр", $C452="1s"), F452)</f>
        <v>0</v>
      </c>
      <c r="Q451" s="52" t="b">
        <f t="shared" ref="Q451:Q514" si="52">IF(AND($C451="Упр", $C452="1s"), G452)</f>
        <v>0</v>
      </c>
      <c r="R451" s="52" t="b">
        <f t="shared" ref="R451:R514" si="53">IF(AND($C451="Упр", $C452="1s"), H452)</f>
        <v>0</v>
      </c>
      <c r="S451" s="52" t="b">
        <f t="shared" ref="S451:S514" si="54">IF(AND($C451="Упр", $C452="1s"), I452)</f>
        <v>0</v>
      </c>
      <c r="T451" s="52" t="b">
        <f t="shared" ref="T451:T514" si="55">IF(AND($C451="Упр", $C452="1s"), E451)</f>
        <v>0</v>
      </c>
    </row>
    <row r="452" spans="3:20" ht="22.5" x14ac:dyDescent="0.2">
      <c r="C452" s="36" t="s">
        <v>52</v>
      </c>
      <c r="D452" s="43" t="s">
        <v>659</v>
      </c>
      <c r="E452" s="44" t="s">
        <v>660</v>
      </c>
      <c r="F452" s="44"/>
      <c r="G452" s="44"/>
      <c r="H452" s="44"/>
      <c r="I452" s="44"/>
      <c r="J452" s="44"/>
      <c r="K452" s="44"/>
      <c r="L452" s="44" t="s">
        <v>661</v>
      </c>
      <c r="M452" s="45"/>
      <c r="N452" s="52" t="b">
        <f t="shared" si="49"/>
        <v>0</v>
      </c>
      <c r="O452" s="52" t="b">
        <f t="shared" si="50"/>
        <v>0</v>
      </c>
      <c r="P452" s="52" t="b">
        <f t="shared" si="51"/>
        <v>0</v>
      </c>
      <c r="Q452" s="52" t="b">
        <f t="shared" si="52"/>
        <v>0</v>
      </c>
      <c r="R452" s="52" t="b">
        <f t="shared" si="53"/>
        <v>0</v>
      </c>
      <c r="S452" s="52" t="b">
        <f t="shared" si="54"/>
        <v>0</v>
      </c>
      <c r="T452" s="52" t="b">
        <f t="shared" si="55"/>
        <v>0</v>
      </c>
    </row>
    <row r="453" spans="3:20" ht="22.5" x14ac:dyDescent="0.2">
      <c r="C453" s="56" t="s">
        <v>52</v>
      </c>
      <c r="D453" s="37">
        <v>34</v>
      </c>
      <c r="E453" s="38" t="s">
        <v>662</v>
      </c>
      <c r="F453" s="38"/>
      <c r="G453" s="38"/>
      <c r="H453" s="38"/>
      <c r="I453" s="38"/>
      <c r="J453" s="38"/>
      <c r="K453" s="38"/>
      <c r="L453" s="39"/>
      <c r="M453" s="39" t="s">
        <v>663</v>
      </c>
      <c r="N453" s="52" t="b">
        <f t="shared" si="49"/>
        <v>0</v>
      </c>
      <c r="O453" s="52" t="b">
        <f t="shared" si="50"/>
        <v>0</v>
      </c>
      <c r="P453" s="52" t="b">
        <f t="shared" si="51"/>
        <v>0</v>
      </c>
      <c r="Q453" s="52" t="b">
        <f t="shared" si="52"/>
        <v>0</v>
      </c>
      <c r="R453" s="52" t="b">
        <f t="shared" si="53"/>
        <v>0</v>
      </c>
      <c r="S453" s="52" t="b">
        <f t="shared" si="54"/>
        <v>0</v>
      </c>
      <c r="T453" s="52" t="b">
        <f t="shared" si="55"/>
        <v>0</v>
      </c>
    </row>
    <row r="454" spans="3:20" x14ac:dyDescent="0.2">
      <c r="C454" s="56" t="s">
        <v>52</v>
      </c>
      <c r="D454" s="46" t="s">
        <v>664</v>
      </c>
      <c r="E454" s="47" t="s">
        <v>19</v>
      </c>
      <c r="F454" s="47"/>
      <c r="G454" s="47"/>
      <c r="H454" s="47"/>
      <c r="I454" s="47"/>
      <c r="J454" s="47"/>
      <c r="K454" s="47"/>
      <c r="L454" s="48"/>
      <c r="M454" s="48" t="s">
        <v>665</v>
      </c>
      <c r="N454" s="52" t="b">
        <f t="shared" si="49"/>
        <v>0</v>
      </c>
      <c r="O454" s="52" t="b">
        <f t="shared" si="50"/>
        <v>0</v>
      </c>
      <c r="P454" s="52" t="b">
        <f t="shared" si="51"/>
        <v>0</v>
      </c>
      <c r="Q454" s="52" t="b">
        <f t="shared" si="52"/>
        <v>0</v>
      </c>
      <c r="R454" s="52" t="b">
        <f t="shared" si="53"/>
        <v>0</v>
      </c>
      <c r="S454" s="52" t="b">
        <f t="shared" si="54"/>
        <v>0</v>
      </c>
      <c r="T454" s="52" t="b">
        <f t="shared" si="55"/>
        <v>0</v>
      </c>
    </row>
    <row r="455" spans="3:20" x14ac:dyDescent="0.2">
      <c r="C455" s="56" t="s">
        <v>52</v>
      </c>
      <c r="D455" s="37">
        <v>35</v>
      </c>
      <c r="E455" s="38" t="s">
        <v>666</v>
      </c>
      <c r="F455" s="38"/>
      <c r="G455" s="38"/>
      <c r="H455" s="38"/>
      <c r="I455" s="38"/>
      <c r="J455" s="38"/>
      <c r="K455" s="38"/>
      <c r="L455" s="39"/>
      <c r="M455" s="39" t="s">
        <v>667</v>
      </c>
      <c r="N455" s="52" t="b">
        <f t="shared" si="49"/>
        <v>0</v>
      </c>
      <c r="O455" s="52" t="b">
        <f t="shared" si="50"/>
        <v>0</v>
      </c>
      <c r="P455" s="52" t="b">
        <f t="shared" si="51"/>
        <v>0</v>
      </c>
      <c r="Q455" s="52" t="b">
        <f t="shared" si="52"/>
        <v>0</v>
      </c>
      <c r="R455" s="52" t="b">
        <f t="shared" si="53"/>
        <v>0</v>
      </c>
      <c r="S455" s="52" t="b">
        <f t="shared" si="54"/>
        <v>0</v>
      </c>
      <c r="T455" s="52" t="b">
        <f t="shared" si="55"/>
        <v>0</v>
      </c>
    </row>
    <row r="456" spans="3:20" x14ac:dyDescent="0.2">
      <c r="C456" s="56" t="s">
        <v>52</v>
      </c>
      <c r="D456" s="46"/>
      <c r="E456" s="47" t="s">
        <v>19</v>
      </c>
      <c r="F456" s="47"/>
      <c r="G456" s="47"/>
      <c r="H456" s="47"/>
      <c r="I456" s="47"/>
      <c r="J456" s="47"/>
      <c r="K456" s="47"/>
      <c r="L456" s="48"/>
      <c r="M456" s="48" t="s">
        <v>668</v>
      </c>
      <c r="N456" s="52" t="b">
        <f t="shared" si="49"/>
        <v>0</v>
      </c>
      <c r="O456" s="52" t="b">
        <f t="shared" si="50"/>
        <v>0</v>
      </c>
      <c r="P456" s="52" t="b">
        <f t="shared" si="51"/>
        <v>0</v>
      </c>
      <c r="Q456" s="52" t="b">
        <f t="shared" si="52"/>
        <v>0</v>
      </c>
      <c r="R456" s="52" t="b">
        <f t="shared" si="53"/>
        <v>0</v>
      </c>
      <c r="S456" s="52" t="b">
        <f t="shared" si="54"/>
        <v>0</v>
      </c>
      <c r="T456" s="52" t="b">
        <f t="shared" si="55"/>
        <v>0</v>
      </c>
    </row>
    <row r="457" spans="3:20" x14ac:dyDescent="0.2">
      <c r="C457" s="56" t="s">
        <v>52</v>
      </c>
      <c r="D457" s="46"/>
      <c r="E457" s="47" t="s">
        <v>112</v>
      </c>
      <c r="F457" s="47"/>
      <c r="G457" s="47"/>
      <c r="H457" s="47"/>
      <c r="I457" s="47"/>
      <c r="J457" s="47"/>
      <c r="K457" s="47"/>
      <c r="L457" s="48"/>
      <c r="M457" s="48" t="s">
        <v>669</v>
      </c>
      <c r="N457" s="52" t="b">
        <f t="shared" si="49"/>
        <v>0</v>
      </c>
      <c r="O457" s="52" t="b">
        <f t="shared" si="50"/>
        <v>0</v>
      </c>
      <c r="P457" s="52" t="b">
        <f t="shared" si="51"/>
        <v>0</v>
      </c>
      <c r="Q457" s="52" t="b">
        <f t="shared" si="52"/>
        <v>0</v>
      </c>
      <c r="R457" s="52" t="b">
        <f t="shared" si="53"/>
        <v>0</v>
      </c>
      <c r="S457" s="52" t="b">
        <f t="shared" si="54"/>
        <v>0</v>
      </c>
      <c r="T457" s="52" t="b">
        <f t="shared" si="55"/>
        <v>0</v>
      </c>
    </row>
    <row r="458" spans="3:20" x14ac:dyDescent="0.2">
      <c r="C458" s="56" t="s">
        <v>52</v>
      </c>
      <c r="D458" s="46" t="s">
        <v>670</v>
      </c>
      <c r="E458" s="47" t="s">
        <v>671</v>
      </c>
      <c r="F458" s="47"/>
      <c r="G458" s="47"/>
      <c r="H458" s="47"/>
      <c r="I458" s="47"/>
      <c r="J458" s="47"/>
      <c r="K458" s="47"/>
      <c r="L458" s="48"/>
      <c r="M458" s="48" t="s">
        <v>672</v>
      </c>
      <c r="N458" s="52" t="b">
        <f t="shared" si="49"/>
        <v>0</v>
      </c>
      <c r="O458" s="52" t="b">
        <f t="shared" si="50"/>
        <v>0</v>
      </c>
      <c r="P458" s="52" t="b">
        <f t="shared" si="51"/>
        <v>0</v>
      </c>
      <c r="Q458" s="52" t="b">
        <f t="shared" si="52"/>
        <v>0</v>
      </c>
      <c r="R458" s="52" t="b">
        <f t="shared" si="53"/>
        <v>0</v>
      </c>
      <c r="S458" s="52" t="b">
        <f t="shared" si="54"/>
        <v>0</v>
      </c>
      <c r="T458" s="52" t="b">
        <f t="shared" si="55"/>
        <v>0</v>
      </c>
    </row>
    <row r="459" spans="3:20" x14ac:dyDescent="0.2">
      <c r="C459" s="56" t="s">
        <v>52</v>
      </c>
      <c r="D459" s="46" t="s">
        <v>673</v>
      </c>
      <c r="E459" s="47" t="s">
        <v>674</v>
      </c>
      <c r="F459" s="47"/>
      <c r="G459" s="47"/>
      <c r="H459" s="47"/>
      <c r="I459" s="47"/>
      <c r="J459" s="47"/>
      <c r="K459" s="47"/>
      <c r="L459" s="48"/>
      <c r="M459" s="48" t="s">
        <v>675</v>
      </c>
      <c r="N459" s="52" t="b">
        <f t="shared" si="49"/>
        <v>0</v>
      </c>
      <c r="O459" s="52" t="b">
        <f t="shared" si="50"/>
        <v>0</v>
      </c>
      <c r="P459" s="52" t="b">
        <f t="shared" si="51"/>
        <v>0</v>
      </c>
      <c r="Q459" s="52" t="b">
        <f t="shared" si="52"/>
        <v>0</v>
      </c>
      <c r="R459" s="52" t="b">
        <f t="shared" si="53"/>
        <v>0</v>
      </c>
      <c r="S459" s="52" t="b">
        <f t="shared" si="54"/>
        <v>0</v>
      </c>
      <c r="T459" s="52" t="b">
        <f t="shared" si="55"/>
        <v>0</v>
      </c>
    </row>
    <row r="460" spans="3:20" x14ac:dyDescent="0.2">
      <c r="C460" s="56" t="s">
        <v>52</v>
      </c>
      <c r="D460" s="37">
        <v>36</v>
      </c>
      <c r="E460" s="38" t="s">
        <v>676</v>
      </c>
      <c r="F460" s="38"/>
      <c r="G460" s="38"/>
      <c r="H460" s="38"/>
      <c r="I460" s="38"/>
      <c r="J460" s="38"/>
      <c r="K460" s="38"/>
      <c r="L460" s="39"/>
      <c r="M460" s="39" t="s">
        <v>677</v>
      </c>
      <c r="N460" s="52" t="b">
        <f t="shared" si="49"/>
        <v>0</v>
      </c>
      <c r="O460" s="52" t="b">
        <f t="shared" si="50"/>
        <v>0</v>
      </c>
      <c r="P460" s="52" t="b">
        <f t="shared" si="51"/>
        <v>0</v>
      </c>
      <c r="Q460" s="52" t="b">
        <f t="shared" si="52"/>
        <v>0</v>
      </c>
      <c r="R460" s="52" t="b">
        <f t="shared" si="53"/>
        <v>0</v>
      </c>
      <c r="S460" s="52" t="b">
        <f t="shared" si="54"/>
        <v>0</v>
      </c>
      <c r="T460" s="52" t="b">
        <f t="shared" si="55"/>
        <v>0</v>
      </c>
    </row>
    <row r="461" spans="3:20" x14ac:dyDescent="0.2">
      <c r="C461" s="56" t="s">
        <v>52</v>
      </c>
      <c r="D461" s="46" t="s">
        <v>678</v>
      </c>
      <c r="E461" s="47" t="s">
        <v>19</v>
      </c>
      <c r="F461" s="47"/>
      <c r="G461" s="47"/>
      <c r="H461" s="47"/>
      <c r="I461" s="47"/>
      <c r="J461" s="47"/>
      <c r="K461" s="47"/>
      <c r="L461" s="48"/>
      <c r="M461" s="48"/>
      <c r="N461" s="52" t="b">
        <f t="shared" si="49"/>
        <v>0</v>
      </c>
      <c r="O461" s="52" t="b">
        <f t="shared" si="50"/>
        <v>0</v>
      </c>
      <c r="P461" s="52" t="b">
        <f t="shared" si="51"/>
        <v>0</v>
      </c>
      <c r="Q461" s="52" t="b">
        <f t="shared" si="52"/>
        <v>0</v>
      </c>
      <c r="R461" s="52" t="b">
        <f t="shared" si="53"/>
        <v>0</v>
      </c>
      <c r="S461" s="52" t="b">
        <f t="shared" si="54"/>
        <v>0</v>
      </c>
      <c r="T461" s="52" t="b">
        <f t="shared" si="55"/>
        <v>0</v>
      </c>
    </row>
    <row r="462" spans="3:20" ht="22.5" hidden="1" x14ac:dyDescent="0.2">
      <c r="C462" s="35"/>
      <c r="D462" s="35" t="s">
        <v>98</v>
      </c>
      <c r="E462" s="35" t="s">
        <v>99</v>
      </c>
      <c r="F462" s="35" t="s">
        <v>100</v>
      </c>
      <c r="G462" s="35" t="s">
        <v>101</v>
      </c>
      <c r="H462" s="35" t="s">
        <v>102</v>
      </c>
      <c r="I462" s="35" t="s">
        <v>103</v>
      </c>
      <c r="J462" s="35" t="s">
        <v>104</v>
      </c>
      <c r="K462" s="35" t="s">
        <v>105</v>
      </c>
      <c r="L462" s="35" t="s">
        <v>106</v>
      </c>
      <c r="M462" s="35" t="s">
        <v>107</v>
      </c>
      <c r="N462" s="52" t="b">
        <f t="shared" si="49"/>
        <v>0</v>
      </c>
      <c r="O462" s="52" t="b">
        <f t="shared" si="50"/>
        <v>0</v>
      </c>
      <c r="P462" s="52" t="b">
        <f t="shared" si="51"/>
        <v>0</v>
      </c>
      <c r="Q462" s="52" t="b">
        <f t="shared" si="52"/>
        <v>0</v>
      </c>
      <c r="R462" s="52" t="b">
        <f t="shared" si="53"/>
        <v>0</v>
      </c>
      <c r="S462" s="52" t="b">
        <f t="shared" si="54"/>
        <v>0</v>
      </c>
      <c r="T462" s="52" t="b">
        <f t="shared" si="55"/>
        <v>0</v>
      </c>
    </row>
    <row r="463" spans="3:20" ht="22.5" x14ac:dyDescent="0.2">
      <c r="C463" s="36" t="s">
        <v>52</v>
      </c>
      <c r="D463" s="37">
        <v>37</v>
      </c>
      <c r="E463" s="38" t="s">
        <v>53</v>
      </c>
      <c r="F463" s="38" t="s">
        <v>54</v>
      </c>
      <c r="G463" s="38"/>
      <c r="H463" s="38"/>
      <c r="I463" s="38"/>
      <c r="J463" s="38"/>
      <c r="K463" s="38"/>
      <c r="L463" s="39"/>
      <c r="M463" s="39"/>
      <c r="N463" s="52" t="b">
        <f t="shared" si="49"/>
        <v>0</v>
      </c>
      <c r="O463" s="52" t="b">
        <f t="shared" si="50"/>
        <v>0</v>
      </c>
      <c r="P463" s="52" t="b">
        <f t="shared" si="51"/>
        <v>0</v>
      </c>
      <c r="Q463" s="52" t="b">
        <f t="shared" si="52"/>
        <v>0</v>
      </c>
      <c r="R463" s="52" t="b">
        <f t="shared" si="53"/>
        <v>0</v>
      </c>
      <c r="S463" s="52" t="b">
        <f t="shared" si="54"/>
        <v>0</v>
      </c>
      <c r="T463" s="52" t="b">
        <f t="shared" si="55"/>
        <v>0</v>
      </c>
    </row>
    <row r="464" spans="3:20" x14ac:dyDescent="0.2">
      <c r="C464" s="36" t="s">
        <v>52</v>
      </c>
      <c r="D464" s="40" t="s">
        <v>55</v>
      </c>
      <c r="E464" s="41" t="s">
        <v>56</v>
      </c>
      <c r="F464" s="41" t="s">
        <v>57</v>
      </c>
      <c r="G464" s="41"/>
      <c r="H464" s="41"/>
      <c r="I464" s="41"/>
      <c r="J464" s="41"/>
      <c r="K464" s="41"/>
      <c r="L464" s="42"/>
      <c r="M464" s="42" t="s">
        <v>11</v>
      </c>
      <c r="N464" s="52" t="b">
        <f t="shared" si="49"/>
        <v>0</v>
      </c>
      <c r="O464" s="52" t="b">
        <f t="shared" si="50"/>
        <v>0</v>
      </c>
      <c r="P464" s="52" t="b">
        <f t="shared" si="51"/>
        <v>0</v>
      </c>
      <c r="Q464" s="52" t="b">
        <f t="shared" si="52"/>
        <v>0</v>
      </c>
      <c r="R464" s="52" t="b">
        <f t="shared" si="53"/>
        <v>0</v>
      </c>
      <c r="S464" s="52" t="b">
        <f t="shared" si="54"/>
        <v>0</v>
      </c>
      <c r="T464" s="52" t="b">
        <f t="shared" si="55"/>
        <v>0</v>
      </c>
    </row>
    <row r="465" spans="3:20" ht="22.5" x14ac:dyDescent="0.2">
      <c r="C465" s="36" t="s">
        <v>52</v>
      </c>
      <c r="D465" s="43" t="s">
        <v>58</v>
      </c>
      <c r="E465" s="44" t="s">
        <v>59</v>
      </c>
      <c r="F465" s="44" t="s">
        <v>60</v>
      </c>
      <c r="G465" s="44"/>
      <c r="H465" s="44" t="s">
        <v>61</v>
      </c>
      <c r="I465" s="44"/>
      <c r="J465" s="44"/>
      <c r="K465" s="44"/>
      <c r="L465" s="45" t="s">
        <v>60</v>
      </c>
      <c r="M465" s="45"/>
      <c r="N465" s="52" t="b">
        <f t="shared" si="49"/>
        <v>0</v>
      </c>
      <c r="O465" s="52" t="b">
        <f t="shared" si="50"/>
        <v>0</v>
      </c>
      <c r="P465" s="52" t="b">
        <f t="shared" si="51"/>
        <v>0</v>
      </c>
      <c r="Q465" s="52" t="b">
        <f t="shared" si="52"/>
        <v>0</v>
      </c>
      <c r="R465" s="52" t="b">
        <f t="shared" si="53"/>
        <v>0</v>
      </c>
      <c r="S465" s="52" t="b">
        <f t="shared" si="54"/>
        <v>0</v>
      </c>
      <c r="T465" s="52" t="b">
        <f t="shared" si="55"/>
        <v>0</v>
      </c>
    </row>
    <row r="466" spans="3:20" ht="22.5" x14ac:dyDescent="0.2">
      <c r="C466" s="36" t="s">
        <v>52</v>
      </c>
      <c r="D466" s="43" t="s">
        <v>62</v>
      </c>
      <c r="E466" s="44" t="s">
        <v>63</v>
      </c>
      <c r="F466" s="44" t="s">
        <v>60</v>
      </c>
      <c r="G466" s="44"/>
      <c r="H466" s="44" t="s">
        <v>61</v>
      </c>
      <c r="I466" s="44"/>
      <c r="J466" s="44"/>
      <c r="K466" s="44"/>
      <c r="L466" s="44" t="s">
        <v>60</v>
      </c>
      <c r="M466" s="45"/>
      <c r="N466" s="52" t="b">
        <f t="shared" si="49"/>
        <v>0</v>
      </c>
      <c r="O466" s="52" t="b">
        <f t="shared" si="50"/>
        <v>0</v>
      </c>
      <c r="P466" s="52" t="b">
        <f t="shared" si="51"/>
        <v>0</v>
      </c>
      <c r="Q466" s="52" t="b">
        <f t="shared" si="52"/>
        <v>0</v>
      </c>
      <c r="R466" s="52" t="b">
        <f t="shared" si="53"/>
        <v>0</v>
      </c>
      <c r="S466" s="52" t="b">
        <f t="shared" si="54"/>
        <v>0</v>
      </c>
      <c r="T466" s="52" t="b">
        <f t="shared" si="55"/>
        <v>0</v>
      </c>
    </row>
    <row r="467" spans="3:20" ht="22.5" hidden="1" x14ac:dyDescent="0.2">
      <c r="C467" s="35"/>
      <c r="D467" s="35" t="s">
        <v>98</v>
      </c>
      <c r="E467" s="35" t="s">
        <v>99</v>
      </c>
      <c r="F467" s="35" t="s">
        <v>100</v>
      </c>
      <c r="G467" s="35" t="s">
        <v>101</v>
      </c>
      <c r="H467" s="35" t="s">
        <v>102</v>
      </c>
      <c r="I467" s="35" t="s">
        <v>103</v>
      </c>
      <c r="J467" s="35" t="s">
        <v>104</v>
      </c>
      <c r="K467" s="35" t="s">
        <v>105</v>
      </c>
      <c r="L467" s="35" t="s">
        <v>106</v>
      </c>
      <c r="M467" s="35" t="s">
        <v>107</v>
      </c>
      <c r="N467" s="52" t="b">
        <f t="shared" si="49"/>
        <v>0</v>
      </c>
      <c r="O467" s="52" t="b">
        <f t="shared" si="50"/>
        <v>0</v>
      </c>
      <c r="P467" s="52" t="b">
        <f t="shared" si="51"/>
        <v>0</v>
      </c>
      <c r="Q467" s="52" t="b">
        <f t="shared" si="52"/>
        <v>0</v>
      </c>
      <c r="R467" s="52" t="b">
        <f t="shared" si="53"/>
        <v>0</v>
      </c>
      <c r="S467" s="52" t="b">
        <f t="shared" si="54"/>
        <v>0</v>
      </c>
      <c r="T467" s="52" t="b">
        <f t="shared" si="55"/>
        <v>0</v>
      </c>
    </row>
    <row r="468" spans="3:20" ht="22.5" x14ac:dyDescent="0.2">
      <c r="C468" s="56" t="s">
        <v>52</v>
      </c>
      <c r="D468" s="89">
        <v>38</v>
      </c>
      <c r="E468" s="90" t="s">
        <v>679</v>
      </c>
      <c r="F468" s="90"/>
      <c r="G468" s="90"/>
      <c r="H468" s="90"/>
      <c r="I468" s="90"/>
      <c r="J468" s="90"/>
      <c r="K468" s="90"/>
      <c r="L468" s="90" t="s">
        <v>680</v>
      </c>
      <c r="M468" s="91"/>
      <c r="N468" s="52" t="b">
        <f t="shared" si="49"/>
        <v>0</v>
      </c>
      <c r="O468" s="52" t="b">
        <f t="shared" si="50"/>
        <v>0</v>
      </c>
      <c r="P468" s="52" t="b">
        <f t="shared" si="51"/>
        <v>0</v>
      </c>
      <c r="Q468" s="52" t="b">
        <f t="shared" si="52"/>
        <v>0</v>
      </c>
      <c r="R468" s="52" t="b">
        <f t="shared" si="53"/>
        <v>0</v>
      </c>
      <c r="S468" s="52" t="b">
        <f t="shared" si="54"/>
        <v>0</v>
      </c>
      <c r="T468" s="52" t="b">
        <f t="shared" si="55"/>
        <v>0</v>
      </c>
    </row>
    <row r="469" spans="3:20" x14ac:dyDescent="0.2">
      <c r="C469" s="56" t="s">
        <v>52</v>
      </c>
      <c r="D469" s="46"/>
      <c r="E469" s="47" t="s">
        <v>19</v>
      </c>
      <c r="F469" s="47"/>
      <c r="G469" s="47"/>
      <c r="H469" s="47"/>
      <c r="I469" s="47"/>
      <c r="J469" s="47"/>
      <c r="K469" s="47"/>
      <c r="L469" s="48"/>
      <c r="M469" s="48"/>
      <c r="N469" s="52" t="b">
        <f t="shared" si="49"/>
        <v>0</v>
      </c>
      <c r="O469" s="52" t="b">
        <f t="shared" si="50"/>
        <v>0</v>
      </c>
      <c r="P469" s="52" t="b">
        <f t="shared" si="51"/>
        <v>0</v>
      </c>
      <c r="Q469" s="52" t="b">
        <f t="shared" si="52"/>
        <v>0</v>
      </c>
      <c r="R469" s="52" t="b">
        <f t="shared" si="53"/>
        <v>0</v>
      </c>
      <c r="S469" s="52" t="b">
        <f t="shared" si="54"/>
        <v>0</v>
      </c>
      <c r="T469" s="52" t="b">
        <f t="shared" si="55"/>
        <v>0</v>
      </c>
    </row>
    <row r="470" spans="3:20" x14ac:dyDescent="0.2">
      <c r="C470" s="56" t="s">
        <v>52</v>
      </c>
      <c r="D470" s="46"/>
      <c r="E470" s="47" t="s">
        <v>112</v>
      </c>
      <c r="F470" s="47"/>
      <c r="G470" s="47"/>
      <c r="H470" s="47"/>
      <c r="I470" s="47"/>
      <c r="J470" s="47"/>
      <c r="K470" s="47"/>
      <c r="L470" s="48"/>
      <c r="M470" s="48"/>
      <c r="N470" s="52" t="b">
        <f t="shared" si="49"/>
        <v>0</v>
      </c>
      <c r="O470" s="52" t="b">
        <f t="shared" si="50"/>
        <v>0</v>
      </c>
      <c r="P470" s="52" t="b">
        <f t="shared" si="51"/>
        <v>0</v>
      </c>
      <c r="Q470" s="52" t="b">
        <f t="shared" si="52"/>
        <v>0</v>
      </c>
      <c r="R470" s="52" t="b">
        <f t="shared" si="53"/>
        <v>0</v>
      </c>
      <c r="S470" s="52" t="b">
        <f t="shared" si="54"/>
        <v>0</v>
      </c>
      <c r="T470" s="52" t="b">
        <f t="shared" si="55"/>
        <v>0</v>
      </c>
    </row>
    <row r="471" spans="3:20" x14ac:dyDescent="0.2">
      <c r="C471" s="56" t="s">
        <v>52</v>
      </c>
      <c r="D471" s="46" t="s">
        <v>681</v>
      </c>
      <c r="E471" s="47" t="s">
        <v>56</v>
      </c>
      <c r="F471" s="47"/>
      <c r="G471" s="47"/>
      <c r="H471" s="47"/>
      <c r="I471" s="47"/>
      <c r="J471" s="47"/>
      <c r="K471" s="47"/>
      <c r="L471" s="48"/>
      <c r="M471" s="48"/>
      <c r="N471" s="52" t="b">
        <f t="shared" si="49"/>
        <v>0</v>
      </c>
      <c r="O471" s="52" t="b">
        <f t="shared" si="50"/>
        <v>0</v>
      </c>
      <c r="P471" s="52" t="b">
        <f t="shared" si="51"/>
        <v>0</v>
      </c>
      <c r="Q471" s="52" t="b">
        <f t="shared" si="52"/>
        <v>0</v>
      </c>
      <c r="R471" s="52" t="b">
        <f t="shared" si="53"/>
        <v>0</v>
      </c>
      <c r="S471" s="52" t="b">
        <f t="shared" si="54"/>
        <v>0</v>
      </c>
      <c r="T471" s="52" t="b">
        <f t="shared" si="55"/>
        <v>0</v>
      </c>
    </row>
    <row r="472" spans="3:20" x14ac:dyDescent="0.2">
      <c r="C472" s="56" t="s">
        <v>52</v>
      </c>
      <c r="D472" s="46" t="s">
        <v>682</v>
      </c>
      <c r="E472" s="47" t="s">
        <v>683</v>
      </c>
      <c r="F472" s="47"/>
      <c r="G472" s="47"/>
      <c r="H472" s="47"/>
      <c r="I472" s="47"/>
      <c r="J472" s="47"/>
      <c r="K472" s="47"/>
      <c r="L472" s="48" t="s">
        <v>684</v>
      </c>
      <c r="M472" s="48"/>
      <c r="N472" s="52" t="b">
        <f t="shared" si="49"/>
        <v>0</v>
      </c>
      <c r="O472" s="52" t="b">
        <f t="shared" si="50"/>
        <v>0</v>
      </c>
      <c r="P472" s="52" t="b">
        <f t="shared" si="51"/>
        <v>0</v>
      </c>
      <c r="Q472" s="52" t="b">
        <f t="shared" si="52"/>
        <v>0</v>
      </c>
      <c r="R472" s="52" t="b">
        <f t="shared" si="53"/>
        <v>0</v>
      </c>
      <c r="S472" s="52" t="b">
        <f t="shared" si="54"/>
        <v>0</v>
      </c>
      <c r="T472" s="52" t="b">
        <f t="shared" si="55"/>
        <v>0</v>
      </c>
    </row>
    <row r="473" spans="3:20" x14ac:dyDescent="0.2">
      <c r="C473" s="56" t="s">
        <v>52</v>
      </c>
      <c r="D473" s="46" t="s">
        <v>685</v>
      </c>
      <c r="E473" s="47" t="s">
        <v>686</v>
      </c>
      <c r="F473" s="47"/>
      <c r="G473" s="47"/>
      <c r="H473" s="47"/>
      <c r="I473" s="47"/>
      <c r="J473" s="47"/>
      <c r="K473" s="47"/>
      <c r="L473" s="48" t="s">
        <v>684</v>
      </c>
      <c r="M473" s="48"/>
      <c r="N473" s="52" t="b">
        <f t="shared" si="49"/>
        <v>0</v>
      </c>
      <c r="O473" s="52" t="b">
        <f t="shared" si="50"/>
        <v>0</v>
      </c>
      <c r="P473" s="52" t="b">
        <f t="shared" si="51"/>
        <v>0</v>
      </c>
      <c r="Q473" s="52" t="b">
        <f t="shared" si="52"/>
        <v>0</v>
      </c>
      <c r="R473" s="52" t="b">
        <f t="shared" si="53"/>
        <v>0</v>
      </c>
      <c r="S473" s="52" t="b">
        <f t="shared" si="54"/>
        <v>0</v>
      </c>
      <c r="T473" s="52" t="b">
        <f t="shared" si="55"/>
        <v>0</v>
      </c>
    </row>
    <row r="474" spans="3:20" ht="22.5" x14ac:dyDescent="0.2">
      <c r="C474" s="56" t="s">
        <v>52</v>
      </c>
      <c r="D474" s="43" t="s">
        <v>687</v>
      </c>
      <c r="E474" s="44" t="s">
        <v>688</v>
      </c>
      <c r="F474" s="44" t="s">
        <v>689</v>
      </c>
      <c r="G474" s="44"/>
      <c r="H474" s="44"/>
      <c r="I474" s="44"/>
      <c r="J474" s="44"/>
      <c r="K474" s="44"/>
      <c r="L474" s="45"/>
      <c r="M474" s="45"/>
      <c r="N474" s="52" t="b">
        <f t="shared" si="49"/>
        <v>0</v>
      </c>
      <c r="O474" s="52" t="b">
        <f t="shared" si="50"/>
        <v>0</v>
      </c>
      <c r="P474" s="52" t="b">
        <f t="shared" si="51"/>
        <v>0</v>
      </c>
      <c r="Q474" s="52" t="b">
        <f t="shared" si="52"/>
        <v>0</v>
      </c>
      <c r="R474" s="52" t="b">
        <f t="shared" si="53"/>
        <v>0</v>
      </c>
      <c r="S474" s="52" t="b">
        <f t="shared" si="54"/>
        <v>0</v>
      </c>
      <c r="T474" s="52" t="b">
        <f t="shared" si="55"/>
        <v>0</v>
      </c>
    </row>
    <row r="475" spans="3:20" x14ac:dyDescent="0.2">
      <c r="C475" s="56" t="s">
        <v>52</v>
      </c>
      <c r="D475" s="46" t="s">
        <v>690</v>
      </c>
      <c r="E475" s="47" t="s">
        <v>691</v>
      </c>
      <c r="F475" s="47"/>
      <c r="G475" s="47"/>
      <c r="H475" s="47"/>
      <c r="I475" s="47"/>
      <c r="J475" s="47"/>
      <c r="K475" s="47"/>
      <c r="L475" s="48"/>
      <c r="M475" s="48"/>
      <c r="N475" s="52" t="b">
        <f t="shared" si="49"/>
        <v>0</v>
      </c>
      <c r="O475" s="52" t="b">
        <f t="shared" si="50"/>
        <v>0</v>
      </c>
      <c r="P475" s="52" t="b">
        <f t="shared" si="51"/>
        <v>0</v>
      </c>
      <c r="Q475" s="52" t="b">
        <f t="shared" si="52"/>
        <v>0</v>
      </c>
      <c r="R475" s="52" t="b">
        <f t="shared" si="53"/>
        <v>0</v>
      </c>
      <c r="S475" s="52" t="b">
        <f t="shared" si="54"/>
        <v>0</v>
      </c>
      <c r="T475" s="52" t="b">
        <f t="shared" si="55"/>
        <v>0</v>
      </c>
    </row>
    <row r="476" spans="3:20" x14ac:dyDescent="0.2">
      <c r="C476" s="56" t="s">
        <v>52</v>
      </c>
      <c r="D476" s="46" t="s">
        <v>692</v>
      </c>
      <c r="E476" s="47" t="s">
        <v>693</v>
      </c>
      <c r="F476" s="47"/>
      <c r="G476" s="47"/>
      <c r="H476" s="47"/>
      <c r="I476" s="47"/>
      <c r="J476" s="47"/>
      <c r="K476" s="47"/>
      <c r="L476" s="48"/>
      <c r="M476" s="48"/>
      <c r="N476" s="52" t="b">
        <f t="shared" si="49"/>
        <v>0</v>
      </c>
      <c r="O476" s="52" t="b">
        <f t="shared" si="50"/>
        <v>0</v>
      </c>
      <c r="P476" s="52" t="b">
        <f t="shared" si="51"/>
        <v>0</v>
      </c>
      <c r="Q476" s="52" t="b">
        <f t="shared" si="52"/>
        <v>0</v>
      </c>
      <c r="R476" s="52" t="b">
        <f t="shared" si="53"/>
        <v>0</v>
      </c>
      <c r="S476" s="52" t="b">
        <f t="shared" si="54"/>
        <v>0</v>
      </c>
      <c r="T476" s="52" t="b">
        <f t="shared" si="55"/>
        <v>0</v>
      </c>
    </row>
    <row r="477" spans="3:20" ht="33.75" x14ac:dyDescent="0.2">
      <c r="C477" s="56" t="s">
        <v>52</v>
      </c>
      <c r="D477" s="46" t="s">
        <v>694</v>
      </c>
      <c r="E477" s="47" t="s">
        <v>695</v>
      </c>
      <c r="F477" s="47"/>
      <c r="G477" s="47"/>
      <c r="H477" s="47"/>
      <c r="I477" s="47"/>
      <c r="J477" s="47"/>
      <c r="K477" s="47"/>
      <c r="L477" s="48" t="s">
        <v>696</v>
      </c>
      <c r="M477" s="48"/>
      <c r="N477" s="52" t="b">
        <f t="shared" si="49"/>
        <v>0</v>
      </c>
      <c r="O477" s="52" t="b">
        <f t="shared" si="50"/>
        <v>0</v>
      </c>
      <c r="P477" s="52" t="b">
        <f t="shared" si="51"/>
        <v>0</v>
      </c>
      <c r="Q477" s="52" t="b">
        <f t="shared" si="52"/>
        <v>0</v>
      </c>
      <c r="R477" s="52" t="b">
        <f t="shared" si="53"/>
        <v>0</v>
      </c>
      <c r="S477" s="52" t="b">
        <f t="shared" si="54"/>
        <v>0</v>
      </c>
      <c r="T477" s="52" t="b">
        <f t="shared" si="55"/>
        <v>0</v>
      </c>
    </row>
    <row r="478" spans="3:20" x14ac:dyDescent="0.2">
      <c r="C478" s="56" t="s">
        <v>52</v>
      </c>
      <c r="D478" s="46" t="s">
        <v>697</v>
      </c>
      <c r="E478" s="47" t="s">
        <v>698</v>
      </c>
      <c r="F478" s="47"/>
      <c r="G478" s="47"/>
      <c r="H478" s="47"/>
      <c r="I478" s="47"/>
      <c r="J478" s="47"/>
      <c r="K478" s="47"/>
      <c r="L478" s="48" t="s">
        <v>696</v>
      </c>
      <c r="M478" s="48"/>
      <c r="N478" s="52" t="b">
        <f t="shared" si="49"/>
        <v>0</v>
      </c>
      <c r="O478" s="52" t="b">
        <f t="shared" si="50"/>
        <v>0</v>
      </c>
      <c r="P478" s="52" t="b">
        <f t="shared" si="51"/>
        <v>0</v>
      </c>
      <c r="Q478" s="52" t="b">
        <f t="shared" si="52"/>
        <v>0</v>
      </c>
      <c r="R478" s="52" t="b">
        <f t="shared" si="53"/>
        <v>0</v>
      </c>
      <c r="S478" s="52" t="b">
        <f t="shared" si="54"/>
        <v>0</v>
      </c>
      <c r="T478" s="52" t="b">
        <f t="shared" si="55"/>
        <v>0</v>
      </c>
    </row>
    <row r="479" spans="3:20" x14ac:dyDescent="0.2">
      <c r="C479" s="56" t="s">
        <v>52</v>
      </c>
      <c r="D479" s="46" t="s">
        <v>699</v>
      </c>
      <c r="E479" s="47" t="s">
        <v>700</v>
      </c>
      <c r="F479" s="47"/>
      <c r="G479" s="47"/>
      <c r="H479" s="47"/>
      <c r="I479" s="47"/>
      <c r="J479" s="47"/>
      <c r="K479" s="47"/>
      <c r="L479" s="48"/>
      <c r="M479" s="48"/>
      <c r="N479" s="52" t="b">
        <f t="shared" si="49"/>
        <v>0</v>
      </c>
      <c r="O479" s="52" t="b">
        <f t="shared" si="50"/>
        <v>0</v>
      </c>
      <c r="P479" s="52" t="b">
        <f t="shared" si="51"/>
        <v>0</v>
      </c>
      <c r="Q479" s="52" t="b">
        <f t="shared" si="52"/>
        <v>0</v>
      </c>
      <c r="R479" s="52" t="b">
        <f t="shared" si="53"/>
        <v>0</v>
      </c>
      <c r="S479" s="52" t="b">
        <f t="shared" si="54"/>
        <v>0</v>
      </c>
      <c r="T479" s="52" t="b">
        <f t="shared" si="55"/>
        <v>0</v>
      </c>
    </row>
    <row r="480" spans="3:20" x14ac:dyDescent="0.2">
      <c r="C480" s="56" t="s">
        <v>52</v>
      </c>
      <c r="D480" s="46" t="s">
        <v>701</v>
      </c>
      <c r="E480" s="47" t="s">
        <v>702</v>
      </c>
      <c r="F480" s="47"/>
      <c r="G480" s="47"/>
      <c r="H480" s="47"/>
      <c r="I480" s="62"/>
      <c r="J480" s="62"/>
      <c r="K480" s="62"/>
      <c r="L480" s="48"/>
      <c r="M480" s="48"/>
      <c r="N480" s="52" t="b">
        <f t="shared" si="49"/>
        <v>0</v>
      </c>
      <c r="O480" s="52" t="b">
        <f t="shared" si="50"/>
        <v>0</v>
      </c>
      <c r="P480" s="52" t="b">
        <f t="shared" si="51"/>
        <v>0</v>
      </c>
      <c r="Q480" s="52" t="b">
        <f t="shared" si="52"/>
        <v>0</v>
      </c>
      <c r="R480" s="52" t="b">
        <f t="shared" si="53"/>
        <v>0</v>
      </c>
      <c r="S480" s="52" t="b">
        <f t="shared" si="54"/>
        <v>0</v>
      </c>
      <c r="T480" s="52" t="b">
        <f t="shared" si="55"/>
        <v>0</v>
      </c>
    </row>
    <row r="481" spans="3:20" x14ac:dyDescent="0.2">
      <c r="C481" s="56" t="s">
        <v>52</v>
      </c>
      <c r="D481" s="46" t="s">
        <v>703</v>
      </c>
      <c r="E481" s="47" t="s">
        <v>59</v>
      </c>
      <c r="F481" s="47"/>
      <c r="G481" s="47"/>
      <c r="H481" s="47"/>
      <c r="I481" s="47"/>
      <c r="J481" s="47"/>
      <c r="K481" s="47"/>
      <c r="L481" s="48"/>
      <c r="M481" s="48"/>
      <c r="N481" s="52" t="b">
        <f t="shared" si="49"/>
        <v>0</v>
      </c>
      <c r="O481" s="52" t="b">
        <f t="shared" si="50"/>
        <v>0</v>
      </c>
      <c r="P481" s="52" t="b">
        <f t="shared" si="51"/>
        <v>0</v>
      </c>
      <c r="Q481" s="52" t="b">
        <f t="shared" si="52"/>
        <v>0</v>
      </c>
      <c r="R481" s="52" t="b">
        <f t="shared" si="53"/>
        <v>0</v>
      </c>
      <c r="S481" s="52" t="b">
        <f t="shared" si="54"/>
        <v>0</v>
      </c>
      <c r="T481" s="52" t="b">
        <f t="shared" si="55"/>
        <v>0</v>
      </c>
    </row>
    <row r="482" spans="3:20" x14ac:dyDescent="0.2">
      <c r="C482" s="56" t="s">
        <v>52</v>
      </c>
      <c r="D482" s="46" t="s">
        <v>704</v>
      </c>
      <c r="E482" s="47" t="s">
        <v>705</v>
      </c>
      <c r="F482" s="47"/>
      <c r="G482" s="47"/>
      <c r="H482" s="47"/>
      <c r="I482" s="47"/>
      <c r="J482" s="47"/>
      <c r="K482" s="47"/>
      <c r="L482" s="48"/>
      <c r="M482" s="48"/>
      <c r="N482" s="52" t="b">
        <f t="shared" si="49"/>
        <v>0</v>
      </c>
      <c r="O482" s="52" t="b">
        <f t="shared" si="50"/>
        <v>0</v>
      </c>
      <c r="P482" s="52" t="b">
        <f t="shared" si="51"/>
        <v>0</v>
      </c>
      <c r="Q482" s="52" t="b">
        <f t="shared" si="52"/>
        <v>0</v>
      </c>
      <c r="R482" s="52" t="b">
        <f t="shared" si="53"/>
        <v>0</v>
      </c>
      <c r="S482" s="52" t="b">
        <f t="shared" si="54"/>
        <v>0</v>
      </c>
      <c r="T482" s="52" t="b">
        <f t="shared" si="55"/>
        <v>0</v>
      </c>
    </row>
    <row r="483" spans="3:20" x14ac:dyDescent="0.2">
      <c r="C483" s="56" t="s">
        <v>52</v>
      </c>
      <c r="D483" s="46" t="s">
        <v>706</v>
      </c>
      <c r="E483" s="47" t="s">
        <v>707</v>
      </c>
      <c r="F483" s="47"/>
      <c r="G483" s="47"/>
      <c r="H483" s="47"/>
      <c r="I483" s="47"/>
      <c r="J483" s="47"/>
      <c r="K483" s="47"/>
      <c r="L483" s="48"/>
      <c r="M483" s="48"/>
      <c r="N483" s="52" t="b">
        <f t="shared" si="49"/>
        <v>0</v>
      </c>
      <c r="O483" s="52" t="b">
        <f t="shared" si="50"/>
        <v>0</v>
      </c>
      <c r="P483" s="52" t="b">
        <f t="shared" si="51"/>
        <v>0</v>
      </c>
      <c r="Q483" s="52" t="b">
        <f t="shared" si="52"/>
        <v>0</v>
      </c>
      <c r="R483" s="52" t="b">
        <f t="shared" si="53"/>
        <v>0</v>
      </c>
      <c r="S483" s="52" t="b">
        <f t="shared" si="54"/>
        <v>0</v>
      </c>
      <c r="T483" s="52" t="b">
        <f t="shared" si="55"/>
        <v>0</v>
      </c>
    </row>
    <row r="484" spans="3:20" ht="22.5" x14ac:dyDescent="0.2">
      <c r="C484" s="56" t="s">
        <v>52</v>
      </c>
      <c r="D484" s="46" t="s">
        <v>708</v>
      </c>
      <c r="E484" s="47" t="s">
        <v>709</v>
      </c>
      <c r="F484" s="47"/>
      <c r="G484" s="47"/>
      <c r="H484" s="47"/>
      <c r="I484" s="47"/>
      <c r="J484" s="47"/>
      <c r="K484" s="47"/>
      <c r="L484" s="48"/>
      <c r="M484" s="48"/>
      <c r="N484" s="52" t="b">
        <f t="shared" si="49"/>
        <v>0</v>
      </c>
      <c r="O484" s="52" t="b">
        <f t="shared" si="50"/>
        <v>0</v>
      </c>
      <c r="P484" s="52" t="b">
        <f t="shared" si="51"/>
        <v>0</v>
      </c>
      <c r="Q484" s="52" t="b">
        <f t="shared" si="52"/>
        <v>0</v>
      </c>
      <c r="R484" s="52" t="b">
        <f t="shared" si="53"/>
        <v>0</v>
      </c>
      <c r="S484" s="52" t="b">
        <f t="shared" si="54"/>
        <v>0</v>
      </c>
      <c r="T484" s="52" t="b">
        <f t="shared" si="55"/>
        <v>0</v>
      </c>
    </row>
    <row r="485" spans="3:20" x14ac:dyDescent="0.2">
      <c r="C485" s="56" t="s">
        <v>52</v>
      </c>
      <c r="D485" s="46" t="s">
        <v>710</v>
      </c>
      <c r="E485" s="47" t="s">
        <v>711</v>
      </c>
      <c r="F485" s="47"/>
      <c r="G485" s="47"/>
      <c r="H485" s="47"/>
      <c r="I485" s="47"/>
      <c r="J485" s="47"/>
      <c r="K485" s="47"/>
      <c r="L485" s="48"/>
      <c r="M485" s="48"/>
      <c r="N485" s="52" t="b">
        <f t="shared" si="49"/>
        <v>0</v>
      </c>
      <c r="O485" s="52" t="b">
        <f t="shared" si="50"/>
        <v>0</v>
      </c>
      <c r="P485" s="52" t="b">
        <f t="shared" si="51"/>
        <v>0</v>
      </c>
      <c r="Q485" s="52" t="b">
        <f t="shared" si="52"/>
        <v>0</v>
      </c>
      <c r="R485" s="52" t="b">
        <f t="shared" si="53"/>
        <v>0</v>
      </c>
      <c r="S485" s="52" t="b">
        <f t="shared" si="54"/>
        <v>0</v>
      </c>
      <c r="T485" s="52" t="b">
        <f t="shared" si="55"/>
        <v>0</v>
      </c>
    </row>
    <row r="486" spans="3:20" x14ac:dyDescent="0.2">
      <c r="C486" s="56" t="s">
        <v>52</v>
      </c>
      <c r="D486" s="46" t="s">
        <v>712</v>
      </c>
      <c r="E486" s="47" t="s">
        <v>713</v>
      </c>
      <c r="F486" s="47"/>
      <c r="G486" s="47"/>
      <c r="H486" s="47"/>
      <c r="I486" s="47"/>
      <c r="J486" s="47"/>
      <c r="K486" s="47"/>
      <c r="L486" s="48"/>
      <c r="M486" s="48"/>
      <c r="N486" s="52" t="b">
        <f t="shared" si="49"/>
        <v>0</v>
      </c>
      <c r="O486" s="52" t="b">
        <f t="shared" si="50"/>
        <v>0</v>
      </c>
      <c r="P486" s="52" t="b">
        <f t="shared" si="51"/>
        <v>0</v>
      </c>
      <c r="Q486" s="52" t="b">
        <f t="shared" si="52"/>
        <v>0</v>
      </c>
      <c r="R486" s="52" t="b">
        <f t="shared" si="53"/>
        <v>0</v>
      </c>
      <c r="S486" s="52" t="b">
        <f t="shared" si="54"/>
        <v>0</v>
      </c>
      <c r="T486" s="52" t="b">
        <f t="shared" si="55"/>
        <v>0</v>
      </c>
    </row>
    <row r="487" spans="3:20" x14ac:dyDescent="0.2">
      <c r="C487" s="56" t="s">
        <v>52</v>
      </c>
      <c r="D487" s="43" t="s">
        <v>714</v>
      </c>
      <c r="E487" s="44" t="s">
        <v>715</v>
      </c>
      <c r="F487" s="44"/>
      <c r="G487" s="44"/>
      <c r="H487" s="44"/>
      <c r="I487" s="44"/>
      <c r="J487" s="44"/>
      <c r="K487" s="44"/>
      <c r="L487" s="45"/>
      <c r="M487" s="45"/>
      <c r="N487" s="52" t="b">
        <f t="shared" si="49"/>
        <v>0</v>
      </c>
      <c r="O487" s="52" t="b">
        <f t="shared" si="50"/>
        <v>0</v>
      </c>
      <c r="P487" s="52" t="b">
        <f t="shared" si="51"/>
        <v>0</v>
      </c>
      <c r="Q487" s="52" t="b">
        <f t="shared" si="52"/>
        <v>0</v>
      </c>
      <c r="R487" s="52" t="b">
        <f t="shared" si="53"/>
        <v>0</v>
      </c>
      <c r="S487" s="52" t="b">
        <f t="shared" si="54"/>
        <v>0</v>
      </c>
      <c r="T487" s="52" t="b">
        <f t="shared" si="55"/>
        <v>0</v>
      </c>
    </row>
    <row r="488" spans="3:20" x14ac:dyDescent="0.2">
      <c r="C488" s="56" t="s">
        <v>52</v>
      </c>
      <c r="D488" s="46" t="s">
        <v>716</v>
      </c>
      <c r="E488" s="47" t="s">
        <v>717</v>
      </c>
      <c r="F488" s="47"/>
      <c r="G488" s="47"/>
      <c r="H488" s="47"/>
      <c r="I488" s="47"/>
      <c r="J488" s="47"/>
      <c r="K488" s="47"/>
      <c r="L488" s="48"/>
      <c r="M488" s="48"/>
      <c r="N488" s="52" t="b">
        <f t="shared" si="49"/>
        <v>0</v>
      </c>
      <c r="O488" s="52" t="b">
        <f t="shared" si="50"/>
        <v>0</v>
      </c>
      <c r="P488" s="52" t="b">
        <f t="shared" si="51"/>
        <v>0</v>
      </c>
      <c r="Q488" s="52" t="b">
        <f t="shared" si="52"/>
        <v>0</v>
      </c>
      <c r="R488" s="52" t="b">
        <f t="shared" si="53"/>
        <v>0</v>
      </c>
      <c r="S488" s="52" t="b">
        <f t="shared" si="54"/>
        <v>0</v>
      </c>
      <c r="T488" s="52" t="b">
        <f t="shared" si="55"/>
        <v>0</v>
      </c>
    </row>
    <row r="489" spans="3:20" x14ac:dyDescent="0.2">
      <c r="C489" s="56" t="s">
        <v>52</v>
      </c>
      <c r="D489" s="46" t="s">
        <v>718</v>
      </c>
      <c r="E489" s="47" t="s">
        <v>719</v>
      </c>
      <c r="F489" s="47"/>
      <c r="G489" s="47"/>
      <c r="H489" s="47"/>
      <c r="I489" s="47"/>
      <c r="J489" s="47"/>
      <c r="K489" s="47"/>
      <c r="L489" s="48"/>
      <c r="M489" s="48"/>
      <c r="N489" s="52" t="b">
        <f t="shared" si="49"/>
        <v>0</v>
      </c>
      <c r="O489" s="52" t="b">
        <f t="shared" si="50"/>
        <v>0</v>
      </c>
      <c r="P489" s="52" t="b">
        <f t="shared" si="51"/>
        <v>0</v>
      </c>
      <c r="Q489" s="52" t="b">
        <f t="shared" si="52"/>
        <v>0</v>
      </c>
      <c r="R489" s="52" t="b">
        <f t="shared" si="53"/>
        <v>0</v>
      </c>
      <c r="S489" s="52" t="b">
        <f t="shared" si="54"/>
        <v>0</v>
      </c>
      <c r="T489" s="52" t="b">
        <f t="shared" si="55"/>
        <v>0</v>
      </c>
    </row>
    <row r="490" spans="3:20" ht="33.75" x14ac:dyDescent="0.2">
      <c r="C490" s="56" t="s">
        <v>52</v>
      </c>
      <c r="D490" s="46" t="s">
        <v>720</v>
      </c>
      <c r="E490" s="47" t="s">
        <v>721</v>
      </c>
      <c r="F490" s="47"/>
      <c r="G490" s="47"/>
      <c r="H490" s="47"/>
      <c r="I490" s="47"/>
      <c r="J490" s="47"/>
      <c r="K490" s="47"/>
      <c r="L490" s="48" t="s">
        <v>684</v>
      </c>
      <c r="M490" s="48"/>
      <c r="N490" s="52" t="b">
        <f t="shared" si="49"/>
        <v>0</v>
      </c>
      <c r="O490" s="52" t="b">
        <f t="shared" si="50"/>
        <v>0</v>
      </c>
      <c r="P490" s="52" t="b">
        <f t="shared" si="51"/>
        <v>0</v>
      </c>
      <c r="Q490" s="52" t="b">
        <f t="shared" si="52"/>
        <v>0</v>
      </c>
      <c r="R490" s="52" t="b">
        <f t="shared" si="53"/>
        <v>0</v>
      </c>
      <c r="S490" s="52" t="b">
        <f t="shared" si="54"/>
        <v>0</v>
      </c>
      <c r="T490" s="52" t="b">
        <f t="shared" si="55"/>
        <v>0</v>
      </c>
    </row>
    <row r="491" spans="3:20" x14ac:dyDescent="0.2">
      <c r="C491" s="56" t="s">
        <v>52</v>
      </c>
      <c r="D491" s="46" t="s">
        <v>722</v>
      </c>
      <c r="E491" s="47" t="s">
        <v>723</v>
      </c>
      <c r="F491" s="47"/>
      <c r="G491" s="47"/>
      <c r="H491" s="47"/>
      <c r="I491" s="47"/>
      <c r="J491" s="47"/>
      <c r="K491" s="47"/>
      <c r="L491" s="48" t="s">
        <v>684</v>
      </c>
      <c r="M491" s="48"/>
      <c r="N491" s="52" t="b">
        <f t="shared" si="49"/>
        <v>0</v>
      </c>
      <c r="O491" s="52" t="b">
        <f t="shared" si="50"/>
        <v>0</v>
      </c>
      <c r="P491" s="52" t="b">
        <f t="shared" si="51"/>
        <v>0</v>
      </c>
      <c r="Q491" s="52" t="b">
        <f t="shared" si="52"/>
        <v>0</v>
      </c>
      <c r="R491" s="52" t="b">
        <f t="shared" si="53"/>
        <v>0</v>
      </c>
      <c r="S491" s="52" t="b">
        <f t="shared" si="54"/>
        <v>0</v>
      </c>
      <c r="T491" s="52" t="b">
        <f t="shared" si="55"/>
        <v>0</v>
      </c>
    </row>
    <row r="492" spans="3:20" x14ac:dyDescent="0.2">
      <c r="C492" s="56" t="s">
        <v>52</v>
      </c>
      <c r="D492" s="46" t="s">
        <v>724</v>
      </c>
      <c r="E492" s="47" t="s">
        <v>725</v>
      </c>
      <c r="F492" s="47"/>
      <c r="G492" s="47"/>
      <c r="H492" s="47"/>
      <c r="I492" s="47"/>
      <c r="J492" s="47"/>
      <c r="K492" s="47"/>
      <c r="L492" s="48"/>
      <c r="M492" s="48"/>
      <c r="N492" s="52" t="b">
        <f t="shared" si="49"/>
        <v>0</v>
      </c>
      <c r="O492" s="52" t="b">
        <f t="shared" si="50"/>
        <v>0</v>
      </c>
      <c r="P492" s="52" t="b">
        <f t="shared" si="51"/>
        <v>0</v>
      </c>
      <c r="Q492" s="52" t="b">
        <f t="shared" si="52"/>
        <v>0</v>
      </c>
      <c r="R492" s="52" t="b">
        <f t="shared" si="53"/>
        <v>0</v>
      </c>
      <c r="S492" s="52" t="b">
        <f t="shared" si="54"/>
        <v>0</v>
      </c>
      <c r="T492" s="52" t="b">
        <f t="shared" si="55"/>
        <v>0</v>
      </c>
    </row>
    <row r="493" spans="3:20" x14ac:dyDescent="0.2">
      <c r="C493" s="56" t="s">
        <v>52</v>
      </c>
      <c r="D493" s="46" t="s">
        <v>726</v>
      </c>
      <c r="E493" s="47" t="s">
        <v>727</v>
      </c>
      <c r="F493" s="47"/>
      <c r="G493" s="47"/>
      <c r="H493" s="47"/>
      <c r="I493" s="47"/>
      <c r="J493" s="47"/>
      <c r="K493" s="47"/>
      <c r="L493" s="48"/>
      <c r="M493" s="48"/>
      <c r="N493" s="52" t="b">
        <f t="shared" si="49"/>
        <v>0</v>
      </c>
      <c r="O493" s="52" t="b">
        <f t="shared" si="50"/>
        <v>0</v>
      </c>
      <c r="P493" s="52" t="b">
        <f t="shared" si="51"/>
        <v>0</v>
      </c>
      <c r="Q493" s="52" t="b">
        <f t="shared" si="52"/>
        <v>0</v>
      </c>
      <c r="R493" s="52" t="b">
        <f t="shared" si="53"/>
        <v>0</v>
      </c>
      <c r="S493" s="52" t="b">
        <f t="shared" si="54"/>
        <v>0</v>
      </c>
      <c r="T493" s="52" t="b">
        <f t="shared" si="55"/>
        <v>0</v>
      </c>
    </row>
    <row r="494" spans="3:20" ht="22.5" x14ac:dyDescent="0.2">
      <c r="C494" s="56" t="s">
        <v>52</v>
      </c>
      <c r="D494" s="46" t="s">
        <v>728</v>
      </c>
      <c r="E494" s="47" t="s">
        <v>729</v>
      </c>
      <c r="F494" s="47"/>
      <c r="G494" s="47"/>
      <c r="H494" s="47"/>
      <c r="I494" s="47"/>
      <c r="J494" s="47"/>
      <c r="K494" s="47"/>
      <c r="L494" s="48"/>
      <c r="M494" s="48" t="s">
        <v>730</v>
      </c>
      <c r="N494" s="52" t="b">
        <f t="shared" si="49"/>
        <v>0</v>
      </c>
      <c r="O494" s="52" t="b">
        <f t="shared" si="50"/>
        <v>0</v>
      </c>
      <c r="P494" s="52" t="b">
        <f t="shared" si="51"/>
        <v>0</v>
      </c>
      <c r="Q494" s="52" t="b">
        <f t="shared" si="52"/>
        <v>0</v>
      </c>
      <c r="R494" s="52" t="b">
        <f t="shared" si="53"/>
        <v>0</v>
      </c>
      <c r="S494" s="52" t="b">
        <f t="shared" si="54"/>
        <v>0</v>
      </c>
      <c r="T494" s="52" t="b">
        <f t="shared" si="55"/>
        <v>0</v>
      </c>
    </row>
    <row r="495" spans="3:20" ht="22.5" x14ac:dyDescent="0.2">
      <c r="C495" s="56" t="s">
        <v>52</v>
      </c>
      <c r="D495" s="37">
        <v>39</v>
      </c>
      <c r="E495" s="38" t="s">
        <v>731</v>
      </c>
      <c r="F495" s="38"/>
      <c r="G495" s="38"/>
      <c r="H495" s="38"/>
      <c r="I495" s="38"/>
      <c r="J495" s="38"/>
      <c r="K495" s="38"/>
      <c r="L495" s="39"/>
      <c r="M495" s="39" t="s">
        <v>732</v>
      </c>
      <c r="N495" s="52" t="b">
        <f t="shared" si="49"/>
        <v>0</v>
      </c>
      <c r="O495" s="52" t="b">
        <f t="shared" si="50"/>
        <v>0</v>
      </c>
      <c r="P495" s="52" t="b">
        <f t="shared" si="51"/>
        <v>0</v>
      </c>
      <c r="Q495" s="52" t="b">
        <f t="shared" si="52"/>
        <v>0</v>
      </c>
      <c r="R495" s="52" t="b">
        <f t="shared" si="53"/>
        <v>0</v>
      </c>
      <c r="S495" s="52" t="b">
        <f t="shared" si="54"/>
        <v>0</v>
      </c>
      <c r="T495" s="52" t="b">
        <f t="shared" si="55"/>
        <v>0</v>
      </c>
    </row>
    <row r="496" spans="3:20" x14ac:dyDescent="0.2">
      <c r="C496" s="56" t="s">
        <v>52</v>
      </c>
      <c r="D496" s="46" t="s">
        <v>733</v>
      </c>
      <c r="E496" s="47" t="s">
        <v>19</v>
      </c>
      <c r="F496" s="47"/>
      <c r="G496" s="47"/>
      <c r="H496" s="47"/>
      <c r="I496" s="47"/>
      <c r="J496" s="47"/>
      <c r="K496" s="47"/>
      <c r="L496" s="48"/>
      <c r="M496" s="48"/>
      <c r="N496" s="52" t="b">
        <f t="shared" si="49"/>
        <v>0</v>
      </c>
      <c r="O496" s="52" t="b">
        <f t="shared" si="50"/>
        <v>0</v>
      </c>
      <c r="P496" s="52" t="b">
        <f t="shared" si="51"/>
        <v>0</v>
      </c>
      <c r="Q496" s="52" t="b">
        <f t="shared" si="52"/>
        <v>0</v>
      </c>
      <c r="R496" s="52" t="b">
        <f t="shared" si="53"/>
        <v>0</v>
      </c>
      <c r="S496" s="52" t="b">
        <f t="shared" si="54"/>
        <v>0</v>
      </c>
      <c r="T496" s="52" t="b">
        <f t="shared" si="55"/>
        <v>0</v>
      </c>
    </row>
    <row r="497" spans="3:20" x14ac:dyDescent="0.2">
      <c r="C497" s="56" t="s">
        <v>52</v>
      </c>
      <c r="D497" s="37">
        <v>40</v>
      </c>
      <c r="E497" s="38" t="s">
        <v>734</v>
      </c>
      <c r="F497" s="38"/>
      <c r="G497" s="38"/>
      <c r="H497" s="38"/>
      <c r="I497" s="38"/>
      <c r="J497" s="38"/>
      <c r="K497" s="38"/>
      <c r="L497" s="39"/>
      <c r="M497" s="39" t="s">
        <v>735</v>
      </c>
      <c r="N497" s="52" t="b">
        <f t="shared" si="49"/>
        <v>0</v>
      </c>
      <c r="O497" s="52" t="b">
        <f t="shared" si="50"/>
        <v>0</v>
      </c>
      <c r="P497" s="52" t="b">
        <f t="shared" si="51"/>
        <v>0</v>
      </c>
      <c r="Q497" s="52" t="b">
        <f t="shared" si="52"/>
        <v>0</v>
      </c>
      <c r="R497" s="52" t="b">
        <f t="shared" si="53"/>
        <v>0</v>
      </c>
      <c r="S497" s="52" t="b">
        <f t="shared" si="54"/>
        <v>0</v>
      </c>
      <c r="T497" s="52" t="b">
        <f t="shared" si="55"/>
        <v>0</v>
      </c>
    </row>
    <row r="498" spans="3:20" x14ac:dyDescent="0.2">
      <c r="C498" s="56" t="s">
        <v>52</v>
      </c>
      <c r="D498" s="46" t="s">
        <v>736</v>
      </c>
      <c r="E498" s="47" t="s">
        <v>19</v>
      </c>
      <c r="F498" s="47"/>
      <c r="G498" s="47"/>
      <c r="H498" s="47"/>
      <c r="I498" s="47"/>
      <c r="J498" s="47"/>
      <c r="K498" s="47"/>
      <c r="L498" s="48"/>
      <c r="M498" s="48"/>
      <c r="N498" s="52" t="b">
        <f t="shared" si="49"/>
        <v>0</v>
      </c>
      <c r="O498" s="52" t="b">
        <f t="shared" si="50"/>
        <v>0</v>
      </c>
      <c r="P498" s="52" t="b">
        <f t="shared" si="51"/>
        <v>0</v>
      </c>
      <c r="Q498" s="52" t="b">
        <f t="shared" si="52"/>
        <v>0</v>
      </c>
      <c r="R498" s="52" t="b">
        <f t="shared" si="53"/>
        <v>0</v>
      </c>
      <c r="S498" s="52" t="b">
        <f t="shared" si="54"/>
        <v>0</v>
      </c>
      <c r="T498" s="52" t="b">
        <f t="shared" si="55"/>
        <v>0</v>
      </c>
    </row>
    <row r="499" spans="3:20" ht="22.5" x14ac:dyDescent="0.2">
      <c r="C499" s="56" t="s">
        <v>52</v>
      </c>
      <c r="D499" s="37">
        <v>41</v>
      </c>
      <c r="E499" s="38" t="s">
        <v>64</v>
      </c>
      <c r="F499" s="38"/>
      <c r="G499" s="38"/>
      <c r="H499" s="38"/>
      <c r="I499" s="38"/>
      <c r="J499" s="38"/>
      <c r="K499" s="38"/>
      <c r="L499" s="39"/>
      <c r="M499" s="39"/>
      <c r="N499" s="52" t="b">
        <f t="shared" si="49"/>
        <v>0</v>
      </c>
      <c r="O499" s="52" t="b">
        <f t="shared" si="50"/>
        <v>0</v>
      </c>
      <c r="P499" s="52" t="b">
        <f t="shared" si="51"/>
        <v>0</v>
      </c>
      <c r="Q499" s="52" t="b">
        <f t="shared" si="52"/>
        <v>0</v>
      </c>
      <c r="R499" s="52" t="b">
        <f t="shared" si="53"/>
        <v>0</v>
      </c>
      <c r="S499" s="52" t="b">
        <f t="shared" si="54"/>
        <v>0</v>
      </c>
      <c r="T499" s="52" t="b">
        <f t="shared" si="55"/>
        <v>0</v>
      </c>
    </row>
    <row r="500" spans="3:20" ht="22.5" x14ac:dyDescent="0.2">
      <c r="C500" s="56" t="s">
        <v>52</v>
      </c>
      <c r="D500" s="46" t="s">
        <v>65</v>
      </c>
      <c r="E500" s="47" t="s">
        <v>66</v>
      </c>
      <c r="F500" s="47" t="s">
        <v>67</v>
      </c>
      <c r="G500" s="47"/>
      <c r="H500" s="47"/>
      <c r="I500" s="47"/>
      <c r="J500" s="47"/>
      <c r="K500" s="47"/>
      <c r="L500" s="48"/>
      <c r="M500" s="48" t="s">
        <v>68</v>
      </c>
      <c r="N500" s="52" t="b">
        <f t="shared" si="49"/>
        <v>0</v>
      </c>
      <c r="O500" s="52" t="b">
        <f t="shared" si="50"/>
        <v>0</v>
      </c>
      <c r="P500" s="52" t="b">
        <f t="shared" si="51"/>
        <v>0</v>
      </c>
      <c r="Q500" s="52" t="b">
        <f t="shared" si="52"/>
        <v>0</v>
      </c>
      <c r="R500" s="52" t="b">
        <f t="shared" si="53"/>
        <v>0</v>
      </c>
      <c r="S500" s="52" t="b">
        <f t="shared" si="54"/>
        <v>0</v>
      </c>
      <c r="T500" s="52" t="b">
        <f t="shared" si="55"/>
        <v>0</v>
      </c>
    </row>
    <row r="501" spans="3:20" x14ac:dyDescent="0.2">
      <c r="C501" s="56" t="s">
        <v>52</v>
      </c>
      <c r="D501" s="46" t="s">
        <v>69</v>
      </c>
      <c r="E501" s="47" t="s">
        <v>70</v>
      </c>
      <c r="F501" s="47" t="s">
        <v>71</v>
      </c>
      <c r="G501" s="47"/>
      <c r="H501" s="47"/>
      <c r="I501" s="47"/>
      <c r="J501" s="47"/>
      <c r="K501" s="47"/>
      <c r="L501" s="48"/>
      <c r="M501" s="48"/>
      <c r="N501" s="52" t="b">
        <f t="shared" si="49"/>
        <v>0</v>
      </c>
      <c r="O501" s="52" t="b">
        <f t="shared" si="50"/>
        <v>0</v>
      </c>
      <c r="P501" s="52" t="b">
        <f t="shared" si="51"/>
        <v>0</v>
      </c>
      <c r="Q501" s="52" t="b">
        <f t="shared" si="52"/>
        <v>0</v>
      </c>
      <c r="R501" s="52" t="b">
        <f t="shared" si="53"/>
        <v>0</v>
      </c>
      <c r="S501" s="52" t="b">
        <f t="shared" si="54"/>
        <v>0</v>
      </c>
      <c r="T501" s="52" t="b">
        <f t="shared" si="55"/>
        <v>0</v>
      </c>
    </row>
    <row r="502" spans="3:20" ht="22.5" x14ac:dyDescent="0.2">
      <c r="C502" s="56" t="s">
        <v>52</v>
      </c>
      <c r="D502" s="46" t="s">
        <v>72</v>
      </c>
      <c r="E502" s="47" t="s">
        <v>73</v>
      </c>
      <c r="F502" s="47"/>
      <c r="G502" s="47"/>
      <c r="H502" s="47"/>
      <c r="I502" s="47"/>
      <c r="J502" s="47"/>
      <c r="K502" s="47"/>
      <c r="L502" s="48"/>
      <c r="M502" s="48" t="s">
        <v>74</v>
      </c>
      <c r="N502" s="52" t="b">
        <f t="shared" si="49"/>
        <v>0</v>
      </c>
      <c r="O502" s="52" t="b">
        <f t="shared" si="50"/>
        <v>0</v>
      </c>
      <c r="P502" s="52" t="b">
        <f t="shared" si="51"/>
        <v>0</v>
      </c>
      <c r="Q502" s="52" t="b">
        <f t="shared" si="52"/>
        <v>0</v>
      </c>
      <c r="R502" s="52" t="b">
        <f t="shared" si="53"/>
        <v>0</v>
      </c>
      <c r="S502" s="52" t="b">
        <f t="shared" si="54"/>
        <v>0</v>
      </c>
      <c r="T502" s="52" t="b">
        <f t="shared" si="55"/>
        <v>0</v>
      </c>
    </row>
    <row r="503" spans="3:20" x14ac:dyDescent="0.2">
      <c r="C503" s="56" t="s">
        <v>52</v>
      </c>
      <c r="D503" s="46" t="s">
        <v>75</v>
      </c>
      <c r="E503" s="47" t="s">
        <v>76</v>
      </c>
      <c r="F503" s="47"/>
      <c r="G503" s="47"/>
      <c r="H503" s="47"/>
      <c r="I503" s="47"/>
      <c r="J503" s="47"/>
      <c r="K503" s="47"/>
      <c r="L503" s="48"/>
      <c r="M503" s="48" t="s">
        <v>74</v>
      </c>
      <c r="N503" s="52" t="b">
        <f t="shared" si="49"/>
        <v>0</v>
      </c>
      <c r="O503" s="52" t="b">
        <f t="shared" si="50"/>
        <v>0</v>
      </c>
      <c r="P503" s="52" t="b">
        <f t="shared" si="51"/>
        <v>0</v>
      </c>
      <c r="Q503" s="52" t="b">
        <f t="shared" si="52"/>
        <v>0</v>
      </c>
      <c r="R503" s="52" t="b">
        <f t="shared" si="53"/>
        <v>0</v>
      </c>
      <c r="S503" s="52" t="b">
        <f t="shared" si="54"/>
        <v>0</v>
      </c>
      <c r="T503" s="52" t="b">
        <f t="shared" si="55"/>
        <v>0</v>
      </c>
    </row>
    <row r="504" spans="3:20" ht="22.5" hidden="1" x14ac:dyDescent="0.2">
      <c r="C504" s="35"/>
      <c r="D504" s="35" t="s">
        <v>98</v>
      </c>
      <c r="E504" s="35" t="s">
        <v>99</v>
      </c>
      <c r="F504" s="35" t="s">
        <v>100</v>
      </c>
      <c r="G504" s="35" t="s">
        <v>101</v>
      </c>
      <c r="H504" s="35" t="s">
        <v>102</v>
      </c>
      <c r="I504" s="35" t="s">
        <v>103</v>
      </c>
      <c r="J504" s="35" t="s">
        <v>104</v>
      </c>
      <c r="K504" s="35" t="s">
        <v>105</v>
      </c>
      <c r="L504" s="35" t="s">
        <v>106</v>
      </c>
      <c r="M504" s="35" t="s">
        <v>107</v>
      </c>
      <c r="N504" s="52" t="b">
        <f t="shared" si="49"/>
        <v>0</v>
      </c>
      <c r="O504" s="52" t="b">
        <f t="shared" si="50"/>
        <v>0</v>
      </c>
      <c r="P504" s="52" t="b">
        <f t="shared" si="51"/>
        <v>0</v>
      </c>
      <c r="Q504" s="52" t="b">
        <f t="shared" si="52"/>
        <v>0</v>
      </c>
      <c r="R504" s="52" t="b">
        <f t="shared" si="53"/>
        <v>0</v>
      </c>
      <c r="S504" s="52" t="b">
        <f t="shared" si="54"/>
        <v>0</v>
      </c>
      <c r="T504" s="52" t="b">
        <f t="shared" si="55"/>
        <v>0</v>
      </c>
    </row>
    <row r="505" spans="3:20" ht="22.5" x14ac:dyDescent="0.2">
      <c r="C505" s="36" t="s">
        <v>52</v>
      </c>
      <c r="D505" s="37">
        <v>42</v>
      </c>
      <c r="E505" s="38" t="s">
        <v>737</v>
      </c>
      <c r="F505" s="38"/>
      <c r="G505" s="38"/>
      <c r="H505" s="38"/>
      <c r="I505" s="38"/>
      <c r="J505" s="38"/>
      <c r="K505" s="38"/>
      <c r="L505" s="39"/>
      <c r="M505" s="39"/>
      <c r="N505" s="52" t="b">
        <f t="shared" si="49"/>
        <v>0</v>
      </c>
      <c r="O505" s="52" t="b">
        <f t="shared" si="50"/>
        <v>0</v>
      </c>
      <c r="P505" s="52" t="b">
        <f t="shared" si="51"/>
        <v>0</v>
      </c>
      <c r="Q505" s="52" t="b">
        <f t="shared" si="52"/>
        <v>0</v>
      </c>
      <c r="R505" s="52" t="b">
        <f t="shared" si="53"/>
        <v>0</v>
      </c>
      <c r="S505" s="52" t="b">
        <f t="shared" si="54"/>
        <v>0</v>
      </c>
      <c r="T505" s="52" t="b">
        <f t="shared" si="55"/>
        <v>0</v>
      </c>
    </row>
    <row r="506" spans="3:20" ht="33.75" x14ac:dyDescent="0.2">
      <c r="C506" s="36" t="s">
        <v>52</v>
      </c>
      <c r="D506" s="46" t="s">
        <v>738</v>
      </c>
      <c r="E506" s="47" t="s">
        <v>739</v>
      </c>
      <c r="F506" s="47"/>
      <c r="G506" s="47"/>
      <c r="H506" s="47"/>
      <c r="I506" s="47"/>
      <c r="J506" s="47"/>
      <c r="K506" s="47"/>
      <c r="L506" s="48" t="s">
        <v>740</v>
      </c>
      <c r="M506" s="48" t="s">
        <v>741</v>
      </c>
      <c r="N506" s="52" t="b">
        <f t="shared" si="49"/>
        <v>0</v>
      </c>
      <c r="O506" s="52" t="b">
        <f t="shared" si="50"/>
        <v>0</v>
      </c>
      <c r="P506" s="52" t="b">
        <f t="shared" si="51"/>
        <v>0</v>
      </c>
      <c r="Q506" s="52" t="b">
        <f t="shared" si="52"/>
        <v>0</v>
      </c>
      <c r="R506" s="52" t="b">
        <f t="shared" si="53"/>
        <v>0</v>
      </c>
      <c r="S506" s="52" t="b">
        <f t="shared" si="54"/>
        <v>0</v>
      </c>
      <c r="T506" s="52" t="b">
        <f t="shared" si="55"/>
        <v>0</v>
      </c>
    </row>
    <row r="507" spans="3:20" ht="22.5" x14ac:dyDescent="0.2">
      <c r="C507" s="36" t="s">
        <v>52</v>
      </c>
      <c r="D507" s="46" t="s">
        <v>742</v>
      </c>
      <c r="E507" s="47" t="s">
        <v>743</v>
      </c>
      <c r="F507" s="47"/>
      <c r="G507" s="47"/>
      <c r="H507" s="47"/>
      <c r="I507" s="47"/>
      <c r="J507" s="47"/>
      <c r="K507" s="47"/>
      <c r="L507" s="48"/>
      <c r="M507" s="48"/>
      <c r="N507" s="52" t="str">
        <f t="shared" si="49"/>
        <v>42.1.1.</v>
      </c>
      <c r="O507" s="52" t="str">
        <f t="shared" si="50"/>
        <v>90.10.1 / 90.10.11</v>
      </c>
      <c r="P507" s="52" t="str">
        <f t="shared" si="51"/>
        <v>Прочие расходы по текущей деятельности / -||- (по местам хранения)</v>
      </c>
      <c r="Q507" s="52">
        <f t="shared" si="52"/>
        <v>60</v>
      </c>
      <c r="R507" s="52" t="str">
        <f t="shared" si="53"/>
        <v>Путевки в детские оздоровительные лагеря</v>
      </c>
      <c r="S507" s="52" t="str">
        <f t="shared" si="54"/>
        <v>Виды прочих расходов</v>
      </c>
      <c r="T507" s="52" t="str">
        <f t="shared" si="55"/>
        <v>Путевки в детские оздоровительные лагеря</v>
      </c>
    </row>
    <row r="508" spans="3:20" ht="33.75" x14ac:dyDescent="0.2">
      <c r="C508" s="36" t="s">
        <v>1087</v>
      </c>
      <c r="D508" s="62" t="s">
        <v>132</v>
      </c>
      <c r="E508" s="62"/>
      <c r="F508" s="62" t="s">
        <v>133</v>
      </c>
      <c r="G508" s="62">
        <v>60</v>
      </c>
      <c r="H508" s="62" t="s">
        <v>743</v>
      </c>
      <c r="I508" s="62" t="s">
        <v>134</v>
      </c>
      <c r="J508" s="62" t="s">
        <v>135</v>
      </c>
      <c r="K508" s="62"/>
      <c r="L508" s="72"/>
      <c r="M508" s="73"/>
      <c r="N508" s="52" t="b">
        <f t="shared" si="49"/>
        <v>0</v>
      </c>
      <c r="O508" s="52" t="b">
        <f t="shared" si="50"/>
        <v>0</v>
      </c>
      <c r="P508" s="52" t="b">
        <f t="shared" si="51"/>
        <v>0</v>
      </c>
      <c r="Q508" s="52" t="b">
        <f t="shared" si="52"/>
        <v>0</v>
      </c>
      <c r="R508" s="52" t="b">
        <f t="shared" si="53"/>
        <v>0</v>
      </c>
      <c r="S508" s="52" t="b">
        <f t="shared" si="54"/>
        <v>0</v>
      </c>
      <c r="T508" s="52" t="b">
        <f t="shared" si="55"/>
        <v>0</v>
      </c>
    </row>
    <row r="509" spans="3:20" ht="22.5" x14ac:dyDescent="0.2">
      <c r="C509" s="36" t="s">
        <v>52</v>
      </c>
      <c r="D509" s="46" t="s">
        <v>744</v>
      </c>
      <c r="E509" s="47" t="s">
        <v>745</v>
      </c>
      <c r="F509" s="47"/>
      <c r="G509" s="47"/>
      <c r="H509" s="47"/>
      <c r="I509" s="47"/>
      <c r="J509" s="47"/>
      <c r="K509" s="47"/>
      <c r="L509" s="48"/>
      <c r="M509" s="48"/>
      <c r="N509" s="52" t="str">
        <f t="shared" si="49"/>
        <v>42.1.2.</v>
      </c>
      <c r="O509" s="52" t="str">
        <f t="shared" si="50"/>
        <v>90.10.1 / 90.10.11</v>
      </c>
      <c r="P509" s="52" t="str">
        <f t="shared" si="51"/>
        <v>Прочие расходы по текущей деятельности / -||- (по местам хранения)</v>
      </c>
      <c r="Q509" s="52">
        <f t="shared" si="52"/>
        <v>61</v>
      </c>
      <c r="R509" s="52" t="str">
        <f t="shared" si="53"/>
        <v>Расходы на оздор.и культ.-массов.мероприятия</v>
      </c>
      <c r="S509" s="52" t="str">
        <f t="shared" si="54"/>
        <v>Виды прочих расходов</v>
      </c>
      <c r="T509" s="52" t="str">
        <f t="shared" si="55"/>
        <v>Расходы на оздор.и культ.-массов.мероприятия</v>
      </c>
    </row>
    <row r="510" spans="3:20" ht="33.75" x14ac:dyDescent="0.2">
      <c r="C510" s="36" t="s">
        <v>1087</v>
      </c>
      <c r="D510" s="62" t="s">
        <v>132</v>
      </c>
      <c r="E510" s="62"/>
      <c r="F510" s="62" t="s">
        <v>133</v>
      </c>
      <c r="G510" s="62">
        <v>61</v>
      </c>
      <c r="H510" s="62" t="s">
        <v>745</v>
      </c>
      <c r="I510" s="62" t="s">
        <v>134</v>
      </c>
      <c r="J510" s="62" t="s">
        <v>135</v>
      </c>
      <c r="K510" s="62"/>
      <c r="L510" s="72"/>
      <c r="M510" s="73"/>
      <c r="N510" s="52" t="b">
        <f t="shared" si="49"/>
        <v>0</v>
      </c>
      <c r="O510" s="52" t="b">
        <f t="shared" si="50"/>
        <v>0</v>
      </c>
      <c r="P510" s="52" t="b">
        <f t="shared" si="51"/>
        <v>0</v>
      </c>
      <c r="Q510" s="52" t="b">
        <f t="shared" si="52"/>
        <v>0</v>
      </c>
      <c r="R510" s="52" t="b">
        <f t="shared" si="53"/>
        <v>0</v>
      </c>
      <c r="S510" s="52" t="b">
        <f t="shared" si="54"/>
        <v>0</v>
      </c>
      <c r="T510" s="52" t="b">
        <f t="shared" si="55"/>
        <v>0</v>
      </c>
    </row>
    <row r="511" spans="3:20" x14ac:dyDescent="0.2">
      <c r="C511" s="36" t="s">
        <v>52</v>
      </c>
      <c r="D511" s="46" t="s">
        <v>746</v>
      </c>
      <c r="E511" s="47" t="s">
        <v>747</v>
      </c>
      <c r="F511" s="47" t="s">
        <v>67</v>
      </c>
      <c r="G511" s="47"/>
      <c r="H511" s="47"/>
      <c r="I511" s="47"/>
      <c r="J511" s="47"/>
      <c r="K511" s="47"/>
      <c r="L511" s="48"/>
      <c r="M511" s="48"/>
      <c r="N511" s="52" t="str">
        <f t="shared" si="49"/>
        <v>42.2.</v>
      </c>
      <c r="O511" s="52" t="str">
        <f t="shared" si="50"/>
        <v>90.10.1 / 90.10.11</v>
      </c>
      <c r="P511" s="52" t="str">
        <f t="shared" si="51"/>
        <v>Прочие расходы по текущей деятельности / -||- (по местам хранения)</v>
      </c>
      <c r="Q511" s="52">
        <f t="shared" si="52"/>
        <v>30</v>
      </c>
      <c r="R511" s="52" t="str">
        <f t="shared" si="53"/>
        <v>Материальная помощь, иные выплаты  не работникам организации</v>
      </c>
      <c r="S511" s="52" t="str">
        <f t="shared" si="54"/>
        <v>Виды прочих расходов</v>
      </c>
      <c r="T511" s="52" t="str">
        <f t="shared" si="55"/>
        <v>материальная помощь (разовая)</v>
      </c>
    </row>
    <row r="512" spans="3:20" ht="33.75" x14ac:dyDescent="0.2">
      <c r="C512" s="36" t="s">
        <v>1087</v>
      </c>
      <c r="D512" s="62" t="s">
        <v>132</v>
      </c>
      <c r="E512" s="62"/>
      <c r="F512" s="62" t="s">
        <v>133</v>
      </c>
      <c r="G512" s="62">
        <v>30</v>
      </c>
      <c r="H512" s="62" t="s">
        <v>748</v>
      </c>
      <c r="I512" s="62" t="s">
        <v>134</v>
      </c>
      <c r="J512" s="62" t="s">
        <v>135</v>
      </c>
      <c r="K512" s="62"/>
      <c r="L512" s="72"/>
      <c r="M512" s="73"/>
      <c r="N512" s="52" t="b">
        <f t="shared" si="49"/>
        <v>0</v>
      </c>
      <c r="O512" s="52" t="b">
        <f t="shared" si="50"/>
        <v>0</v>
      </c>
      <c r="P512" s="52" t="b">
        <f t="shared" si="51"/>
        <v>0</v>
      </c>
      <c r="Q512" s="52" t="b">
        <f t="shared" si="52"/>
        <v>0</v>
      </c>
      <c r="R512" s="52" t="b">
        <f t="shared" si="53"/>
        <v>0</v>
      </c>
      <c r="S512" s="52" t="b">
        <f t="shared" si="54"/>
        <v>0</v>
      </c>
      <c r="T512" s="52" t="b">
        <f t="shared" si="55"/>
        <v>0</v>
      </c>
    </row>
    <row r="513" spans="3:20" x14ac:dyDescent="0.2">
      <c r="C513" s="36" t="s">
        <v>52</v>
      </c>
      <c r="D513" s="43" t="s">
        <v>749</v>
      </c>
      <c r="E513" s="44" t="s">
        <v>750</v>
      </c>
      <c r="F513" s="92"/>
      <c r="G513" s="44"/>
      <c r="H513" s="44"/>
      <c r="I513" s="44"/>
      <c r="J513" s="44"/>
      <c r="K513" s="44"/>
      <c r="L513" s="45"/>
      <c r="M513" s="92" t="s">
        <v>751</v>
      </c>
      <c r="N513" s="52" t="b">
        <f t="shared" si="49"/>
        <v>0</v>
      </c>
      <c r="O513" s="52" t="b">
        <f t="shared" si="50"/>
        <v>0</v>
      </c>
      <c r="P513" s="52" t="b">
        <f t="shared" si="51"/>
        <v>0</v>
      </c>
      <c r="Q513" s="52" t="b">
        <f t="shared" si="52"/>
        <v>0</v>
      </c>
      <c r="R513" s="52" t="b">
        <f t="shared" si="53"/>
        <v>0</v>
      </c>
      <c r="S513" s="52" t="b">
        <f t="shared" si="54"/>
        <v>0</v>
      </c>
      <c r="T513" s="52" t="b">
        <f t="shared" si="55"/>
        <v>0</v>
      </c>
    </row>
    <row r="514" spans="3:20" x14ac:dyDescent="0.2">
      <c r="C514" s="36" t="s">
        <v>52</v>
      </c>
      <c r="D514" s="46" t="s">
        <v>752</v>
      </c>
      <c r="E514" s="47" t="s">
        <v>753</v>
      </c>
      <c r="F514" s="47" t="s">
        <v>67</v>
      </c>
      <c r="G514" s="47"/>
      <c r="H514" s="47"/>
      <c r="I514" s="47"/>
      <c r="J514" s="47"/>
      <c r="K514" s="47"/>
      <c r="L514" s="93"/>
      <c r="M514" s="93" t="s">
        <v>754</v>
      </c>
      <c r="N514" s="52" t="b">
        <f t="shared" si="49"/>
        <v>0</v>
      </c>
      <c r="O514" s="52" t="b">
        <f t="shared" si="50"/>
        <v>0</v>
      </c>
      <c r="P514" s="52" t="b">
        <f t="shared" si="51"/>
        <v>0</v>
      </c>
      <c r="Q514" s="52" t="b">
        <f t="shared" si="52"/>
        <v>0</v>
      </c>
      <c r="R514" s="52" t="b">
        <f t="shared" si="53"/>
        <v>0</v>
      </c>
      <c r="S514" s="52" t="b">
        <f t="shared" si="54"/>
        <v>0</v>
      </c>
      <c r="T514" s="52" t="b">
        <f t="shared" si="55"/>
        <v>0</v>
      </c>
    </row>
    <row r="515" spans="3:20" x14ac:dyDescent="0.2">
      <c r="C515" s="36" t="s">
        <v>52</v>
      </c>
      <c r="D515" s="46" t="s">
        <v>755</v>
      </c>
      <c r="E515" s="47" t="s">
        <v>756</v>
      </c>
      <c r="F515" s="47"/>
      <c r="G515" s="47"/>
      <c r="H515" s="47"/>
      <c r="I515" s="47"/>
      <c r="J515" s="47"/>
      <c r="K515" s="47"/>
      <c r="L515" s="48"/>
      <c r="M515" s="48"/>
      <c r="N515" s="52" t="str">
        <f t="shared" ref="N515:N578" si="56">IF(AND($C515="Упр", $C516="1s"), D515)</f>
        <v>42.4.1.</v>
      </c>
      <c r="O515" s="52" t="str">
        <f t="shared" ref="O515:O578" si="57">IF(AND($C515="Упр", $C516="1s"), D516)</f>
        <v>90.7.2</v>
      </c>
      <c r="P515" s="52" t="str">
        <f t="shared" ref="P515:P578" si="58">IF(AND($C515="Упр", $C516="1s"), F516)</f>
        <v>Прочие доходы по текущей деятельности, облагаемые НДС</v>
      </c>
      <c r="Q515" s="52">
        <f t="shared" ref="Q515:Q578" si="59">IF(AND($C515="Упр", $C516="1s"), G516)</f>
        <v>14</v>
      </c>
      <c r="R515" s="52" t="str">
        <f t="shared" ref="R515:R578" si="60">IF(AND($C515="Упр", $C516="1s"), H516)</f>
        <v>Штрафы, пени полученные</v>
      </c>
      <c r="S515" s="52" t="str">
        <f t="shared" ref="S515:S578" si="61">IF(AND($C515="Упр", $C516="1s"), I516)</f>
        <v>Виды прочих расходов</v>
      </c>
      <c r="T515" s="52" t="str">
        <f t="shared" ref="T515:T578" si="62">IF(AND($C515="Упр", $C516="1s"), E515)</f>
        <v>Штрафы, пени полученные</v>
      </c>
    </row>
    <row r="516" spans="3:20" ht="22.5" x14ac:dyDescent="0.2">
      <c r="C516" s="94" t="s">
        <v>1087</v>
      </c>
      <c r="D516" s="44" t="s">
        <v>757</v>
      </c>
      <c r="E516" s="44"/>
      <c r="F516" s="44" t="s">
        <v>758</v>
      </c>
      <c r="G516" s="44">
        <v>14</v>
      </c>
      <c r="H516" s="44" t="s">
        <v>756</v>
      </c>
      <c r="I516" s="44" t="s">
        <v>134</v>
      </c>
      <c r="J516" s="44" t="s">
        <v>759</v>
      </c>
      <c r="K516" s="44"/>
      <c r="L516" s="45" t="s">
        <v>760</v>
      </c>
      <c r="M516" s="95"/>
      <c r="N516" s="52" t="b">
        <f t="shared" si="56"/>
        <v>0</v>
      </c>
      <c r="O516" s="52" t="b">
        <f t="shared" si="57"/>
        <v>0</v>
      </c>
      <c r="P516" s="52" t="b">
        <f t="shared" si="58"/>
        <v>0</v>
      </c>
      <c r="Q516" s="52" t="b">
        <f t="shared" si="59"/>
        <v>0</v>
      </c>
      <c r="R516" s="52" t="b">
        <f t="shared" si="60"/>
        <v>0</v>
      </c>
      <c r="S516" s="52" t="b">
        <f t="shared" si="61"/>
        <v>0</v>
      </c>
      <c r="T516" s="52" t="b">
        <f t="shared" si="62"/>
        <v>0</v>
      </c>
    </row>
    <row r="517" spans="3:20" ht="22.5" x14ac:dyDescent="0.2">
      <c r="C517" s="36" t="s">
        <v>52</v>
      </c>
      <c r="D517" s="46" t="s">
        <v>761</v>
      </c>
      <c r="E517" s="47" t="s">
        <v>762</v>
      </c>
      <c r="F517" s="47"/>
      <c r="G517" s="47"/>
      <c r="H517" s="47"/>
      <c r="I517" s="47"/>
      <c r="J517" s="47"/>
      <c r="K517" s="47"/>
      <c r="L517" s="48"/>
      <c r="M517" s="48"/>
      <c r="N517" s="52" t="str">
        <f t="shared" si="56"/>
        <v>42.4.2.</v>
      </c>
      <c r="O517" s="52" t="str">
        <f t="shared" si="57"/>
        <v>90.10.1 / 90.10.11</v>
      </c>
      <c r="P517" s="52" t="str">
        <f t="shared" si="58"/>
        <v>Прочие расходы по текущей деятельности / -||- (по местам хранения)</v>
      </c>
      <c r="Q517" s="52">
        <f t="shared" si="59"/>
        <v>20</v>
      </c>
      <c r="R517" s="52" t="str">
        <f t="shared" si="60"/>
        <v>Штрафы,пени,% за польз.деньгами  уплаченные</v>
      </c>
      <c r="S517" s="52" t="str">
        <f t="shared" si="61"/>
        <v>Виды прочих расходов</v>
      </c>
      <c r="T517" s="52" t="str">
        <f t="shared" si="62"/>
        <v>Штрафы,пени,% за польз.деньгами  уплаченные</v>
      </c>
    </row>
    <row r="518" spans="3:20" ht="33.75" x14ac:dyDescent="0.2">
      <c r="C518" s="36" t="s">
        <v>1087</v>
      </c>
      <c r="D518" s="62" t="s">
        <v>132</v>
      </c>
      <c r="E518" s="62"/>
      <c r="F518" s="62" t="s">
        <v>133</v>
      </c>
      <c r="G518" s="62">
        <v>20</v>
      </c>
      <c r="H518" s="62" t="s">
        <v>762</v>
      </c>
      <c r="I518" s="62" t="s">
        <v>134</v>
      </c>
      <c r="J518" s="62" t="s">
        <v>135</v>
      </c>
      <c r="K518" s="62"/>
      <c r="L518" s="72"/>
      <c r="M518" s="73"/>
      <c r="N518" s="52" t="b">
        <f t="shared" si="56"/>
        <v>0</v>
      </c>
      <c r="O518" s="52" t="b">
        <f t="shared" si="57"/>
        <v>0</v>
      </c>
      <c r="P518" s="52" t="b">
        <f t="shared" si="58"/>
        <v>0</v>
      </c>
      <c r="Q518" s="52" t="b">
        <f t="shared" si="59"/>
        <v>0</v>
      </c>
      <c r="R518" s="52" t="b">
        <f t="shared" si="60"/>
        <v>0</v>
      </c>
      <c r="S518" s="52" t="b">
        <f t="shared" si="61"/>
        <v>0</v>
      </c>
      <c r="T518" s="52" t="b">
        <f t="shared" si="62"/>
        <v>0</v>
      </c>
    </row>
    <row r="519" spans="3:20" ht="33.75" x14ac:dyDescent="0.2">
      <c r="C519" s="36" t="s">
        <v>52</v>
      </c>
      <c r="D519" s="46" t="s">
        <v>763</v>
      </c>
      <c r="E519" s="47" t="s">
        <v>764</v>
      </c>
      <c r="F519" s="47"/>
      <c r="G519" s="47"/>
      <c r="H519" s="47"/>
      <c r="I519" s="47"/>
      <c r="J519" s="47"/>
      <c r="K519" s="47"/>
      <c r="L519" s="48"/>
      <c r="M519" s="48"/>
      <c r="N519" s="52" t="str">
        <f t="shared" si="56"/>
        <v>42.4.3.</v>
      </c>
      <c r="O519" s="52" t="str">
        <f t="shared" si="57"/>
        <v>90.10.1 / 90.10.11</v>
      </c>
      <c r="P519" s="52" t="str">
        <f t="shared" si="58"/>
        <v>Прочие расходы по текущей деятельности / -||- (по местам хранения)</v>
      </c>
      <c r="Q519" s="52">
        <f t="shared" si="59"/>
        <v>39</v>
      </c>
      <c r="R519" s="52" t="str">
        <f t="shared" si="60"/>
        <v>Штрафы,пени, % за польз.деньгами уплаченные не учит при н/о</v>
      </c>
      <c r="S519" s="52" t="str">
        <f t="shared" si="61"/>
        <v>Виды прочих расходов</v>
      </c>
      <c r="T519" s="52" t="str">
        <f t="shared" si="62"/>
        <v>Штрафы,пени, % за польз.деньгами уплаченные не учит при н/о</v>
      </c>
    </row>
    <row r="520" spans="3:20" ht="33.75" x14ac:dyDescent="0.2">
      <c r="C520" s="36" t="s">
        <v>1087</v>
      </c>
      <c r="D520" s="62" t="s">
        <v>132</v>
      </c>
      <c r="E520" s="62"/>
      <c r="F520" s="62" t="s">
        <v>133</v>
      </c>
      <c r="G520" s="62">
        <v>39</v>
      </c>
      <c r="H520" s="62" t="s">
        <v>764</v>
      </c>
      <c r="I520" s="62" t="s">
        <v>134</v>
      </c>
      <c r="J520" s="62" t="s">
        <v>135</v>
      </c>
      <c r="K520" s="62"/>
      <c r="L520" s="72"/>
      <c r="M520" s="73"/>
      <c r="N520" s="52" t="b">
        <f t="shared" si="56"/>
        <v>0</v>
      </c>
      <c r="O520" s="52" t="b">
        <f t="shared" si="57"/>
        <v>0</v>
      </c>
      <c r="P520" s="52" t="b">
        <f t="shared" si="58"/>
        <v>0</v>
      </c>
      <c r="Q520" s="52" t="b">
        <f t="shared" si="59"/>
        <v>0</v>
      </c>
      <c r="R520" s="52" t="b">
        <f t="shared" si="60"/>
        <v>0</v>
      </c>
      <c r="S520" s="52" t="b">
        <f t="shared" si="61"/>
        <v>0</v>
      </c>
      <c r="T520" s="52" t="b">
        <f t="shared" si="62"/>
        <v>0</v>
      </c>
    </row>
    <row r="521" spans="3:20" x14ac:dyDescent="0.2">
      <c r="C521" s="36" t="s">
        <v>52</v>
      </c>
      <c r="D521" s="46" t="s">
        <v>765</v>
      </c>
      <c r="E521" s="47" t="s">
        <v>766</v>
      </c>
      <c r="F521" s="47"/>
      <c r="G521" s="47"/>
      <c r="H521" s="47"/>
      <c r="I521" s="47"/>
      <c r="J521" s="47"/>
      <c r="K521" s="47"/>
      <c r="L521" s="93"/>
      <c r="M521" s="48"/>
      <c r="N521" s="52" t="str">
        <f t="shared" si="56"/>
        <v>42.4.4.</v>
      </c>
      <c r="O521" s="52" t="str">
        <f t="shared" si="57"/>
        <v>90.10.1 / 90.10.11</v>
      </c>
      <c r="P521" s="52" t="str">
        <f t="shared" si="58"/>
        <v>Прочие расходы по текущей деятельности / -||- (по местам хранения)</v>
      </c>
      <c r="Q521" s="52">
        <f t="shared" si="59"/>
        <v>40</v>
      </c>
      <c r="R521" s="52" t="str">
        <f t="shared" si="60"/>
        <v>Возмещение за обучение</v>
      </c>
      <c r="S521" s="52" t="str">
        <f t="shared" si="61"/>
        <v>Виды прочих расходов</v>
      </c>
      <c r="T521" s="52" t="str">
        <f t="shared" si="62"/>
        <v>Возмещение за обучение</v>
      </c>
    </row>
    <row r="522" spans="3:20" ht="33.75" x14ac:dyDescent="0.2">
      <c r="C522" s="36" t="s">
        <v>1087</v>
      </c>
      <c r="D522" s="62" t="s">
        <v>132</v>
      </c>
      <c r="E522" s="62"/>
      <c r="F522" s="62" t="s">
        <v>133</v>
      </c>
      <c r="G522" s="62">
        <v>40</v>
      </c>
      <c r="H522" s="62" t="s">
        <v>766</v>
      </c>
      <c r="I522" s="62" t="s">
        <v>134</v>
      </c>
      <c r="J522" s="62" t="s">
        <v>135</v>
      </c>
      <c r="K522" s="62"/>
      <c r="L522" s="73"/>
      <c r="M522" s="73"/>
      <c r="N522" s="52" t="b">
        <f t="shared" si="56"/>
        <v>0</v>
      </c>
      <c r="O522" s="52" t="b">
        <f t="shared" si="57"/>
        <v>0</v>
      </c>
      <c r="P522" s="52" t="b">
        <f t="shared" si="58"/>
        <v>0</v>
      </c>
      <c r="Q522" s="52" t="b">
        <f t="shared" si="59"/>
        <v>0</v>
      </c>
      <c r="R522" s="52" t="b">
        <f t="shared" si="60"/>
        <v>0</v>
      </c>
      <c r="S522" s="52" t="b">
        <f t="shared" si="61"/>
        <v>0</v>
      </c>
      <c r="T522" s="52" t="b">
        <f t="shared" si="62"/>
        <v>0</v>
      </c>
    </row>
    <row r="523" spans="3:20" ht="45" x14ac:dyDescent="0.2">
      <c r="C523" s="36" t="s">
        <v>52</v>
      </c>
      <c r="D523" s="46" t="s">
        <v>767</v>
      </c>
      <c r="E523" s="47" t="s">
        <v>768</v>
      </c>
      <c r="F523" s="47" t="s">
        <v>67</v>
      </c>
      <c r="G523" s="47"/>
      <c r="H523" s="47"/>
      <c r="I523" s="47"/>
      <c r="J523" s="47"/>
      <c r="K523" s="47"/>
      <c r="L523" s="59" t="s">
        <v>769</v>
      </c>
      <c r="M523" s="93" t="s">
        <v>770</v>
      </c>
      <c r="N523" s="52" t="b">
        <f t="shared" si="56"/>
        <v>0</v>
      </c>
      <c r="O523" s="52" t="b">
        <f t="shared" si="57"/>
        <v>0</v>
      </c>
      <c r="P523" s="52" t="b">
        <f t="shared" si="58"/>
        <v>0</v>
      </c>
      <c r="Q523" s="52" t="b">
        <f t="shared" si="59"/>
        <v>0</v>
      </c>
      <c r="R523" s="52" t="b">
        <f t="shared" si="60"/>
        <v>0</v>
      </c>
      <c r="S523" s="52" t="b">
        <f t="shared" si="61"/>
        <v>0</v>
      </c>
      <c r="T523" s="52" t="b">
        <f t="shared" si="62"/>
        <v>0</v>
      </c>
    </row>
    <row r="524" spans="3:20" ht="22.5" x14ac:dyDescent="0.2">
      <c r="C524" s="36" t="s">
        <v>52</v>
      </c>
      <c r="D524" s="46" t="s">
        <v>771</v>
      </c>
      <c r="E524" s="47" t="s">
        <v>772</v>
      </c>
      <c r="F524" s="47"/>
      <c r="G524" s="47"/>
      <c r="H524" s="47"/>
      <c r="I524" s="47"/>
      <c r="J524" s="47"/>
      <c r="K524" s="47"/>
      <c r="L524" s="93"/>
      <c r="M524" s="48"/>
      <c r="N524" s="52" t="str">
        <f t="shared" si="56"/>
        <v>42.5.1.</v>
      </c>
      <c r="O524" s="52" t="str">
        <f t="shared" si="57"/>
        <v>90.10.1 / 90.10.11</v>
      </c>
      <c r="P524" s="52" t="str">
        <f t="shared" si="58"/>
        <v>Прочие расходы по текущей деятельности / -||- (по местам хранения)</v>
      </c>
      <c r="Q524" s="52">
        <f t="shared" si="59"/>
        <v>38</v>
      </c>
      <c r="R524" s="52" t="str">
        <f t="shared" si="60"/>
        <v>Безвозмездная спонсорская помощь</v>
      </c>
      <c r="S524" s="52" t="str">
        <f t="shared" si="61"/>
        <v>Виды прочих расходов</v>
      </c>
      <c r="T524" s="52" t="str">
        <f t="shared" si="62"/>
        <v>Безвозмездная спонсорская помощь</v>
      </c>
    </row>
    <row r="525" spans="3:20" ht="33.75" x14ac:dyDescent="0.2">
      <c r="C525" s="36" t="s">
        <v>1087</v>
      </c>
      <c r="D525" s="62" t="s">
        <v>132</v>
      </c>
      <c r="E525" s="62"/>
      <c r="F525" s="62" t="s">
        <v>133</v>
      </c>
      <c r="G525" s="62">
        <v>38</v>
      </c>
      <c r="H525" s="62" t="s">
        <v>772</v>
      </c>
      <c r="I525" s="62" t="s">
        <v>134</v>
      </c>
      <c r="J525" s="62" t="s">
        <v>135</v>
      </c>
      <c r="K525" s="62"/>
      <c r="L525" s="72"/>
      <c r="M525" s="73"/>
      <c r="N525" s="52" t="b">
        <f t="shared" si="56"/>
        <v>0</v>
      </c>
      <c r="O525" s="52" t="b">
        <f t="shared" si="57"/>
        <v>0</v>
      </c>
      <c r="P525" s="52" t="b">
        <f t="shared" si="58"/>
        <v>0</v>
      </c>
      <c r="Q525" s="52" t="b">
        <f t="shared" si="59"/>
        <v>0</v>
      </c>
      <c r="R525" s="52" t="b">
        <f t="shared" si="60"/>
        <v>0</v>
      </c>
      <c r="S525" s="52" t="b">
        <f t="shared" si="61"/>
        <v>0</v>
      </c>
      <c r="T525" s="52" t="b">
        <f t="shared" si="62"/>
        <v>0</v>
      </c>
    </row>
    <row r="526" spans="3:20" ht="22.5" x14ac:dyDescent="0.2">
      <c r="C526" s="94" t="s">
        <v>1087</v>
      </c>
      <c r="D526" s="44" t="s">
        <v>773</v>
      </c>
      <c r="E526" s="44"/>
      <c r="F526" s="44" t="s">
        <v>774</v>
      </c>
      <c r="G526" s="44">
        <v>38</v>
      </c>
      <c r="H526" s="44" t="s">
        <v>772</v>
      </c>
      <c r="I526" s="44" t="s">
        <v>134</v>
      </c>
      <c r="J526" s="44"/>
      <c r="K526" s="44"/>
      <c r="L526" s="45" t="s">
        <v>760</v>
      </c>
      <c r="M526" s="95"/>
      <c r="N526" s="52" t="b">
        <f t="shared" si="56"/>
        <v>0</v>
      </c>
      <c r="O526" s="52" t="b">
        <f t="shared" si="57"/>
        <v>0</v>
      </c>
      <c r="P526" s="52" t="b">
        <f t="shared" si="58"/>
        <v>0</v>
      </c>
      <c r="Q526" s="52" t="b">
        <f t="shared" si="59"/>
        <v>0</v>
      </c>
      <c r="R526" s="52" t="b">
        <f t="shared" si="60"/>
        <v>0</v>
      </c>
      <c r="S526" s="52" t="b">
        <f t="shared" si="61"/>
        <v>0</v>
      </c>
      <c r="T526" s="52" t="b">
        <f t="shared" si="62"/>
        <v>0</v>
      </c>
    </row>
    <row r="527" spans="3:20" x14ac:dyDescent="0.2">
      <c r="C527" s="36" t="s">
        <v>52</v>
      </c>
      <c r="D527" s="46" t="s">
        <v>775</v>
      </c>
      <c r="E527" s="47" t="s">
        <v>776</v>
      </c>
      <c r="F527" s="47"/>
      <c r="G527" s="47"/>
      <c r="H527" s="47"/>
      <c r="I527" s="47"/>
      <c r="J527" s="47"/>
      <c r="K527" s="47"/>
      <c r="L527" s="93"/>
      <c r="M527" s="48"/>
      <c r="N527" s="52" t="str">
        <f t="shared" si="56"/>
        <v>42.5.2.</v>
      </c>
      <c r="O527" s="52" t="str">
        <f t="shared" si="57"/>
        <v>44.2 / 44.3</v>
      </c>
      <c r="P527" s="52">
        <f t="shared" si="58"/>
        <v>0</v>
      </c>
      <c r="Q527" s="52">
        <f t="shared" si="59"/>
        <v>250</v>
      </c>
      <c r="R527" s="52" t="str">
        <f t="shared" si="60"/>
        <v>Оборудование</v>
      </c>
      <c r="S527" s="52" t="str">
        <f t="shared" si="61"/>
        <v>Элементы затрат</v>
      </c>
      <c r="T527" s="52" t="str">
        <f t="shared" si="62"/>
        <v>Оборудование</v>
      </c>
    </row>
    <row r="528" spans="3:20" ht="22.5" x14ac:dyDescent="0.2">
      <c r="C528" s="36" t="s">
        <v>1087</v>
      </c>
      <c r="D528" s="62" t="s">
        <v>125</v>
      </c>
      <c r="E528" s="62"/>
      <c r="F528" s="62"/>
      <c r="G528" s="62">
        <v>250</v>
      </c>
      <c r="H528" s="62" t="s">
        <v>776</v>
      </c>
      <c r="I528" s="62" t="s">
        <v>127</v>
      </c>
      <c r="J528" s="62" t="s">
        <v>128</v>
      </c>
      <c r="K528" s="62" t="s">
        <v>129</v>
      </c>
      <c r="L528" s="72"/>
      <c r="M528" s="73"/>
      <c r="N528" s="52" t="b">
        <f t="shared" si="56"/>
        <v>0</v>
      </c>
      <c r="O528" s="52" t="b">
        <f t="shared" si="57"/>
        <v>0</v>
      </c>
      <c r="P528" s="52" t="b">
        <f t="shared" si="58"/>
        <v>0</v>
      </c>
      <c r="Q528" s="52" t="b">
        <f t="shared" si="59"/>
        <v>0</v>
      </c>
      <c r="R528" s="52" t="b">
        <f t="shared" si="60"/>
        <v>0</v>
      </c>
      <c r="S528" s="52" t="b">
        <f t="shared" si="61"/>
        <v>0</v>
      </c>
      <c r="T528" s="52" t="b">
        <f t="shared" si="62"/>
        <v>0</v>
      </c>
    </row>
    <row r="529" spans="3:20" x14ac:dyDescent="0.2">
      <c r="C529" s="36" t="s">
        <v>52</v>
      </c>
      <c r="D529" s="46" t="s">
        <v>777</v>
      </c>
      <c r="E529" s="47" t="s">
        <v>262</v>
      </c>
      <c r="F529" s="47"/>
      <c r="G529" s="47"/>
      <c r="H529" s="47"/>
      <c r="I529" s="47"/>
      <c r="J529" s="47"/>
      <c r="K529" s="47"/>
      <c r="L529" s="93"/>
      <c r="M529" s="48"/>
      <c r="N529" s="52" t="str">
        <f t="shared" si="56"/>
        <v>42.5.3.</v>
      </c>
      <c r="O529" s="52" t="str">
        <f t="shared" si="57"/>
        <v>91.4.1</v>
      </c>
      <c r="P529" s="52" t="str">
        <f t="shared" si="58"/>
        <v>Прочие расходы</v>
      </c>
      <c r="Q529" s="52">
        <f t="shared" si="59"/>
        <v>252</v>
      </c>
      <c r="R529" s="52" t="str">
        <f t="shared" si="60"/>
        <v>Прочие</v>
      </c>
      <c r="S529" s="52" t="str">
        <f t="shared" si="61"/>
        <v>Элементы затрат</v>
      </c>
      <c r="T529" s="52" t="str">
        <f t="shared" si="62"/>
        <v>Прочие</v>
      </c>
    </row>
    <row r="530" spans="3:20" ht="22.5" x14ac:dyDescent="0.2">
      <c r="C530" s="36" t="s">
        <v>1087</v>
      </c>
      <c r="D530" s="62" t="s">
        <v>778</v>
      </c>
      <c r="E530" s="62"/>
      <c r="F530" s="62" t="s">
        <v>779</v>
      </c>
      <c r="G530" s="62">
        <v>252</v>
      </c>
      <c r="H530" s="62" t="s">
        <v>262</v>
      </c>
      <c r="I530" s="62" t="s">
        <v>127</v>
      </c>
      <c r="J530" s="84" t="s">
        <v>780</v>
      </c>
      <c r="K530" s="62"/>
      <c r="L530" s="72"/>
      <c r="M530" s="73"/>
      <c r="N530" s="52" t="b">
        <f t="shared" si="56"/>
        <v>0</v>
      </c>
      <c r="O530" s="52" t="b">
        <f t="shared" si="57"/>
        <v>0</v>
      </c>
      <c r="P530" s="52" t="b">
        <f t="shared" si="58"/>
        <v>0</v>
      </c>
      <c r="Q530" s="52" t="b">
        <f t="shared" si="59"/>
        <v>0</v>
      </c>
      <c r="R530" s="52" t="b">
        <f t="shared" si="60"/>
        <v>0</v>
      </c>
      <c r="S530" s="52" t="b">
        <f t="shared" si="61"/>
        <v>0</v>
      </c>
      <c r="T530" s="52" t="b">
        <f t="shared" si="62"/>
        <v>0</v>
      </c>
    </row>
    <row r="531" spans="3:20" x14ac:dyDescent="0.2">
      <c r="C531" s="36" t="s">
        <v>52</v>
      </c>
      <c r="D531" s="46" t="s">
        <v>781</v>
      </c>
      <c r="E531" s="47" t="s">
        <v>782</v>
      </c>
      <c r="F531" s="47"/>
      <c r="G531" s="47"/>
      <c r="H531" s="47"/>
      <c r="I531" s="47"/>
      <c r="J531" s="47"/>
      <c r="K531" s="47"/>
      <c r="L531" s="93"/>
      <c r="M531" s="48"/>
      <c r="N531" s="52" t="str">
        <f t="shared" si="56"/>
        <v>42.5.4.</v>
      </c>
      <c r="O531" s="52" t="str">
        <f t="shared" si="57"/>
        <v>91.4.1</v>
      </c>
      <c r="P531" s="52" t="str">
        <f t="shared" si="58"/>
        <v>Прочие расходы</v>
      </c>
      <c r="Q531" s="52">
        <f t="shared" si="59"/>
        <v>249</v>
      </c>
      <c r="R531" s="52" t="str">
        <f t="shared" si="60"/>
        <v>Строительно-монтажные работы</v>
      </c>
      <c r="S531" s="52" t="str">
        <f t="shared" si="61"/>
        <v>Элементы затрат</v>
      </c>
      <c r="T531" s="52" t="str">
        <f t="shared" si="62"/>
        <v>Строительно-монтажные работы</v>
      </c>
    </row>
    <row r="532" spans="3:20" ht="22.5" x14ac:dyDescent="0.2">
      <c r="C532" s="36" t="s">
        <v>1087</v>
      </c>
      <c r="D532" s="62" t="s">
        <v>778</v>
      </c>
      <c r="E532" s="62"/>
      <c r="F532" s="62" t="s">
        <v>779</v>
      </c>
      <c r="G532" s="62">
        <v>249</v>
      </c>
      <c r="H532" s="62" t="s">
        <v>782</v>
      </c>
      <c r="I532" s="62" t="s">
        <v>127</v>
      </c>
      <c r="J532" s="84" t="s">
        <v>780</v>
      </c>
      <c r="K532" s="62"/>
      <c r="L532" s="72"/>
      <c r="M532" s="73"/>
      <c r="N532" s="52" t="b">
        <f t="shared" si="56"/>
        <v>0</v>
      </c>
      <c r="O532" s="52" t="b">
        <f t="shared" si="57"/>
        <v>0</v>
      </c>
      <c r="P532" s="52" t="b">
        <f t="shared" si="58"/>
        <v>0</v>
      </c>
      <c r="Q532" s="52" t="b">
        <f t="shared" si="59"/>
        <v>0</v>
      </c>
      <c r="R532" s="52" t="b">
        <f t="shared" si="60"/>
        <v>0</v>
      </c>
      <c r="S532" s="52" t="b">
        <f t="shared" si="61"/>
        <v>0</v>
      </c>
      <c r="T532" s="52" t="b">
        <f t="shared" si="62"/>
        <v>0</v>
      </c>
    </row>
    <row r="533" spans="3:20" ht="22.5" x14ac:dyDescent="0.2">
      <c r="C533" s="36" t="s">
        <v>52</v>
      </c>
      <c r="D533" s="46" t="s">
        <v>783</v>
      </c>
      <c r="E533" s="47" t="s">
        <v>784</v>
      </c>
      <c r="F533" s="47"/>
      <c r="G533" s="47"/>
      <c r="H533" s="47"/>
      <c r="I533" s="47"/>
      <c r="J533" s="47"/>
      <c r="K533" s="47"/>
      <c r="L533" s="93"/>
      <c r="M533" s="48"/>
      <c r="N533" s="52" t="str">
        <f t="shared" si="56"/>
        <v>42.5.5.</v>
      </c>
      <c r="O533" s="52" t="str">
        <f t="shared" si="57"/>
        <v>90.10.1 / 90.10.11</v>
      </c>
      <c r="P533" s="52" t="str">
        <f t="shared" si="58"/>
        <v>Прочие расходы по текущей деятельности / -||- (по местам хранения)</v>
      </c>
      <c r="Q533" s="52">
        <f t="shared" si="59"/>
        <v>107</v>
      </c>
      <c r="R533" s="52" t="str">
        <f t="shared" si="60"/>
        <v>Безвозмездная спонсорская помощь по Указу 191</v>
      </c>
      <c r="S533" s="52" t="str">
        <f t="shared" si="61"/>
        <v>Виды прочих расходов</v>
      </c>
      <c r="T533" s="52" t="str">
        <f t="shared" si="62"/>
        <v>Безвозмездная спонсорская помощь по Указу 191</v>
      </c>
    </row>
    <row r="534" spans="3:20" ht="33.75" x14ac:dyDescent="0.2">
      <c r="C534" s="36" t="s">
        <v>1087</v>
      </c>
      <c r="D534" s="62" t="s">
        <v>132</v>
      </c>
      <c r="E534" s="62"/>
      <c r="F534" s="62" t="s">
        <v>133</v>
      </c>
      <c r="G534" s="62">
        <v>107</v>
      </c>
      <c r="H534" s="62" t="s">
        <v>784</v>
      </c>
      <c r="I534" s="62" t="s">
        <v>134</v>
      </c>
      <c r="J534" s="62" t="s">
        <v>135</v>
      </c>
      <c r="K534" s="62"/>
      <c r="L534" s="72"/>
      <c r="M534" s="73"/>
      <c r="N534" s="52" t="b">
        <f t="shared" si="56"/>
        <v>0</v>
      </c>
      <c r="O534" s="52" t="b">
        <f t="shared" si="57"/>
        <v>0</v>
      </c>
      <c r="P534" s="52" t="b">
        <f t="shared" si="58"/>
        <v>0</v>
      </c>
      <c r="Q534" s="52" t="b">
        <f t="shared" si="59"/>
        <v>0</v>
      </c>
      <c r="R534" s="52" t="b">
        <f t="shared" si="60"/>
        <v>0</v>
      </c>
      <c r="S534" s="52" t="b">
        <f t="shared" si="61"/>
        <v>0</v>
      </c>
      <c r="T534" s="52" t="b">
        <f t="shared" si="62"/>
        <v>0</v>
      </c>
    </row>
    <row r="535" spans="3:20" ht="22.5" x14ac:dyDescent="0.2">
      <c r="C535" s="36" t="s">
        <v>52</v>
      </c>
      <c r="D535" s="46" t="s">
        <v>785</v>
      </c>
      <c r="E535" s="47" t="s">
        <v>786</v>
      </c>
      <c r="F535" s="47"/>
      <c r="G535" s="47"/>
      <c r="H535" s="47"/>
      <c r="I535" s="47"/>
      <c r="J535" s="47"/>
      <c r="K535" s="47"/>
      <c r="L535" s="93" t="s">
        <v>787</v>
      </c>
      <c r="M535" s="47" t="s">
        <v>67</v>
      </c>
      <c r="N535" s="52" t="b">
        <f t="shared" si="56"/>
        <v>0</v>
      </c>
      <c r="O535" s="52" t="b">
        <f t="shared" si="57"/>
        <v>0</v>
      </c>
      <c r="P535" s="52" t="b">
        <f t="shared" si="58"/>
        <v>0</v>
      </c>
      <c r="Q535" s="52" t="b">
        <f t="shared" si="59"/>
        <v>0</v>
      </c>
      <c r="R535" s="52" t="b">
        <f t="shared" si="60"/>
        <v>0</v>
      </c>
      <c r="S535" s="52" t="b">
        <f t="shared" si="61"/>
        <v>0</v>
      </c>
      <c r="T535" s="52" t="b">
        <f t="shared" si="62"/>
        <v>0</v>
      </c>
    </row>
    <row r="536" spans="3:20" hidden="1" x14ac:dyDescent="0.2">
      <c r="C536" s="36"/>
      <c r="D536" s="96"/>
      <c r="E536" s="62"/>
      <c r="F536" s="62"/>
      <c r="G536" s="62"/>
      <c r="H536" s="62"/>
      <c r="I536" s="62"/>
      <c r="J536" s="62"/>
      <c r="K536" s="62"/>
      <c r="L536" s="72"/>
      <c r="M536" s="73"/>
      <c r="N536" s="52" t="b">
        <f t="shared" si="56"/>
        <v>0</v>
      </c>
      <c r="O536" s="52" t="b">
        <f t="shared" si="57"/>
        <v>0</v>
      </c>
      <c r="P536" s="52" t="b">
        <f t="shared" si="58"/>
        <v>0</v>
      </c>
      <c r="Q536" s="52" t="b">
        <f t="shared" si="59"/>
        <v>0</v>
      </c>
      <c r="R536" s="52" t="b">
        <f t="shared" si="60"/>
        <v>0</v>
      </c>
      <c r="S536" s="52" t="b">
        <f t="shared" si="61"/>
        <v>0</v>
      </c>
      <c r="T536" s="52" t="b">
        <f t="shared" si="62"/>
        <v>0</v>
      </c>
    </row>
    <row r="537" spans="3:20" ht="45" x14ac:dyDescent="0.2">
      <c r="C537" s="36" t="s">
        <v>52</v>
      </c>
      <c r="D537" s="46" t="s">
        <v>788</v>
      </c>
      <c r="E537" s="47" t="s">
        <v>789</v>
      </c>
      <c r="F537" s="47"/>
      <c r="G537" s="47"/>
      <c r="H537" s="47"/>
      <c r="I537" s="47"/>
      <c r="J537" s="47"/>
      <c r="K537" s="47"/>
      <c r="L537" s="93" t="s">
        <v>790</v>
      </c>
      <c r="M537" s="47" t="s">
        <v>67</v>
      </c>
      <c r="N537" s="52" t="str">
        <f t="shared" si="56"/>
        <v>42.7.</v>
      </c>
      <c r="O537" s="52" t="str">
        <f t="shared" si="57"/>
        <v>20.1</v>
      </c>
      <c r="P537" s="52" t="str">
        <f t="shared" si="58"/>
        <v>Основное производство</v>
      </c>
      <c r="Q537" s="52">
        <f t="shared" si="59"/>
        <v>0</v>
      </c>
      <c r="R537" s="52">
        <f t="shared" si="60"/>
        <v>0</v>
      </c>
      <c r="S537" s="52" t="str">
        <f t="shared" si="61"/>
        <v>Элементы затрат</v>
      </c>
      <c r="T537" s="52" t="str">
        <f t="shared" si="62"/>
        <v>себст-ть проданных излишков электроэнергии</v>
      </c>
    </row>
    <row r="538" spans="3:20" ht="22.5" x14ac:dyDescent="0.2">
      <c r="C538" s="36" t="s">
        <v>1087</v>
      </c>
      <c r="D538" s="96" t="s">
        <v>791</v>
      </c>
      <c r="E538" s="62"/>
      <c r="F538" s="62" t="s">
        <v>792</v>
      </c>
      <c r="G538" s="62"/>
      <c r="H538" s="62"/>
      <c r="I538" s="62" t="s">
        <v>127</v>
      </c>
      <c r="J538" s="62" t="s">
        <v>793</v>
      </c>
      <c r="K538" s="62" t="s">
        <v>129</v>
      </c>
      <c r="L538" s="72"/>
      <c r="M538" s="73"/>
      <c r="N538" s="52" t="b">
        <f t="shared" si="56"/>
        <v>0</v>
      </c>
      <c r="O538" s="52" t="b">
        <f t="shared" si="57"/>
        <v>0</v>
      </c>
      <c r="P538" s="52" t="b">
        <f t="shared" si="58"/>
        <v>0</v>
      </c>
      <c r="Q538" s="52" t="b">
        <f t="shared" si="59"/>
        <v>0</v>
      </c>
      <c r="R538" s="52" t="b">
        <f t="shared" si="60"/>
        <v>0</v>
      </c>
      <c r="S538" s="52" t="b">
        <f t="shared" si="61"/>
        <v>0</v>
      </c>
      <c r="T538" s="52" t="b">
        <f t="shared" si="62"/>
        <v>0</v>
      </c>
    </row>
    <row r="539" spans="3:20" x14ac:dyDescent="0.2">
      <c r="C539" s="36" t="s">
        <v>52</v>
      </c>
      <c r="D539" s="46" t="s">
        <v>794</v>
      </c>
      <c r="E539" s="47" t="s">
        <v>95</v>
      </c>
      <c r="F539" s="47"/>
      <c r="G539" s="47"/>
      <c r="H539" s="47"/>
      <c r="I539" s="47"/>
      <c r="J539" s="47"/>
      <c r="K539" s="47"/>
      <c r="L539" s="48" t="s">
        <v>795</v>
      </c>
      <c r="M539" s="47" t="s">
        <v>67</v>
      </c>
      <c r="N539" s="52" t="b">
        <f t="shared" si="56"/>
        <v>0</v>
      </c>
      <c r="O539" s="52" t="b">
        <f t="shared" si="57"/>
        <v>0</v>
      </c>
      <c r="P539" s="52" t="b">
        <f t="shared" si="58"/>
        <v>0</v>
      </c>
      <c r="Q539" s="52" t="b">
        <f t="shared" si="59"/>
        <v>0</v>
      </c>
      <c r="R539" s="52" t="b">
        <f t="shared" si="60"/>
        <v>0</v>
      </c>
      <c r="S539" s="52" t="b">
        <f t="shared" si="61"/>
        <v>0</v>
      </c>
      <c r="T539" s="52" t="b">
        <f t="shared" si="62"/>
        <v>0</v>
      </c>
    </row>
    <row r="540" spans="3:20" ht="22.5" x14ac:dyDescent="0.2">
      <c r="C540" s="36" t="s">
        <v>52</v>
      </c>
      <c r="D540" s="46" t="s">
        <v>796</v>
      </c>
      <c r="E540" s="47" t="s">
        <v>797</v>
      </c>
      <c r="F540" s="47"/>
      <c r="G540" s="47"/>
      <c r="H540" s="47"/>
      <c r="I540" s="47"/>
      <c r="J540" s="47"/>
      <c r="K540" s="47"/>
      <c r="L540" s="48"/>
      <c r="M540" s="47"/>
      <c r="N540" s="52" t="str">
        <f t="shared" si="56"/>
        <v>42.8.1.</v>
      </c>
      <c r="O540" s="52" t="str">
        <f t="shared" si="57"/>
        <v>44.2 / 44.3</v>
      </c>
      <c r="P540" s="52" t="str">
        <f t="shared" si="58"/>
        <v>Расходы на реализацию в торговле / Управленческие расходы в торговле</v>
      </c>
      <c r="Q540" s="52">
        <f t="shared" si="59"/>
        <v>556</v>
      </c>
      <c r="R540" s="52" t="str">
        <f t="shared" si="60"/>
        <v>Аренда магазинов</v>
      </c>
      <c r="S540" s="52" t="str">
        <f t="shared" si="61"/>
        <v>Элементы затрат</v>
      </c>
      <c r="T540" s="52" t="str">
        <f t="shared" si="62"/>
        <v>Услуги по приемке и переработке отходов полимеров</v>
      </c>
    </row>
    <row r="541" spans="3:20" ht="22.5" x14ac:dyDescent="0.2">
      <c r="C541" s="36" t="s">
        <v>1087</v>
      </c>
      <c r="D541" s="61" t="s">
        <v>125</v>
      </c>
      <c r="E541" s="61"/>
      <c r="F541" s="62" t="s">
        <v>126</v>
      </c>
      <c r="G541" s="62">
        <v>556</v>
      </c>
      <c r="H541" s="62" t="s">
        <v>652</v>
      </c>
      <c r="I541" s="62" t="s">
        <v>127</v>
      </c>
      <c r="J541" s="62" t="s">
        <v>128</v>
      </c>
      <c r="K541" s="62" t="s">
        <v>129</v>
      </c>
      <c r="L541" s="72"/>
      <c r="M541" s="73"/>
      <c r="N541" s="52" t="b">
        <f t="shared" si="56"/>
        <v>0</v>
      </c>
      <c r="O541" s="52" t="b">
        <f t="shared" si="57"/>
        <v>0</v>
      </c>
      <c r="P541" s="52" t="b">
        <f t="shared" si="58"/>
        <v>0</v>
      </c>
      <c r="Q541" s="52" t="b">
        <f t="shared" si="59"/>
        <v>0</v>
      </c>
      <c r="R541" s="52" t="b">
        <f t="shared" si="60"/>
        <v>0</v>
      </c>
      <c r="S541" s="52" t="b">
        <f t="shared" si="61"/>
        <v>0</v>
      </c>
      <c r="T541" s="52" t="b">
        <f t="shared" si="62"/>
        <v>0</v>
      </c>
    </row>
    <row r="542" spans="3:20" x14ac:dyDescent="0.2">
      <c r="C542" s="36" t="s">
        <v>52</v>
      </c>
      <c r="D542" s="46" t="s">
        <v>798</v>
      </c>
      <c r="E542" s="47" t="s">
        <v>799</v>
      </c>
      <c r="F542" s="47"/>
      <c r="G542" s="47"/>
      <c r="H542" s="47"/>
      <c r="I542" s="47"/>
      <c r="J542" s="47"/>
      <c r="K542" s="47"/>
      <c r="L542" s="48"/>
      <c r="M542" s="47"/>
      <c r="N542" s="52" t="str">
        <f t="shared" si="56"/>
        <v>42.8.2.</v>
      </c>
      <c r="O542" s="52" t="str">
        <f t="shared" si="57"/>
        <v>90.10.1 / 90.10.11</v>
      </c>
      <c r="P542" s="52" t="str">
        <f t="shared" si="58"/>
        <v>Прочие расходы по текущей деятельности / -||- (по местам хранения)</v>
      </c>
      <c r="Q542" s="52">
        <f t="shared" si="59"/>
        <v>55</v>
      </c>
      <c r="R542" s="52" t="str">
        <f t="shared" si="60"/>
        <v>Безвозмездная спонсорская помощь по Указу 191</v>
      </c>
      <c r="S542" s="52" t="str">
        <f t="shared" si="61"/>
        <v>Виды прочих расходов</v>
      </c>
      <c r="T542" s="52" t="str">
        <f t="shared" si="62"/>
        <v>Подарки</v>
      </c>
    </row>
    <row r="543" spans="3:20" ht="33.75" x14ac:dyDescent="0.2">
      <c r="C543" s="36" t="s">
        <v>1087</v>
      </c>
      <c r="D543" s="62" t="s">
        <v>132</v>
      </c>
      <c r="E543" s="62"/>
      <c r="F543" s="62" t="s">
        <v>133</v>
      </c>
      <c r="G543" s="62">
        <v>55</v>
      </c>
      <c r="H543" s="62" t="s">
        <v>784</v>
      </c>
      <c r="I543" s="62" t="s">
        <v>134</v>
      </c>
      <c r="J543" s="62" t="s">
        <v>135</v>
      </c>
      <c r="K543" s="62"/>
      <c r="L543" s="72"/>
      <c r="M543" s="73"/>
      <c r="N543" s="52" t="b">
        <f t="shared" si="56"/>
        <v>0</v>
      </c>
      <c r="O543" s="52" t="b">
        <f t="shared" si="57"/>
        <v>0</v>
      </c>
      <c r="P543" s="52" t="b">
        <f t="shared" si="58"/>
        <v>0</v>
      </c>
      <c r="Q543" s="52" t="b">
        <f t="shared" si="59"/>
        <v>0</v>
      </c>
      <c r="R543" s="52" t="b">
        <f t="shared" si="60"/>
        <v>0</v>
      </c>
      <c r="S543" s="52" t="b">
        <f t="shared" si="61"/>
        <v>0</v>
      </c>
      <c r="T543" s="52" t="b">
        <f t="shared" si="62"/>
        <v>0</v>
      </c>
    </row>
    <row r="544" spans="3:20" ht="22.5" x14ac:dyDescent="0.2">
      <c r="C544" s="36" t="s">
        <v>52</v>
      </c>
      <c r="D544" s="46" t="s">
        <v>800</v>
      </c>
      <c r="E544" s="47" t="s">
        <v>801</v>
      </c>
      <c r="F544" s="47"/>
      <c r="G544" s="47"/>
      <c r="H544" s="47"/>
      <c r="I544" s="47"/>
      <c r="J544" s="47"/>
      <c r="K544" s="47"/>
      <c r="L544" s="48"/>
      <c r="M544" s="47"/>
      <c r="N544" s="52" t="str">
        <f t="shared" si="56"/>
        <v>42.8.3.</v>
      </c>
      <c r="O544" s="52" t="str">
        <f t="shared" si="57"/>
        <v>90.10.1 / 90.10.11</v>
      </c>
      <c r="P544" s="52" t="str">
        <f t="shared" si="58"/>
        <v>Прочие расходы по текущей деятельности / -||- (по местам хранения)</v>
      </c>
      <c r="Q544" s="52">
        <f t="shared" si="59"/>
        <v>69</v>
      </c>
      <c r="R544" s="52" t="str">
        <f t="shared" si="60"/>
        <v>Безвозмездная спонсорская помощь по Указу 191</v>
      </c>
      <c r="S544" s="52" t="str">
        <f t="shared" si="61"/>
        <v>Виды прочих расходов</v>
      </c>
      <c r="T544" s="52" t="str">
        <f t="shared" si="62"/>
        <v>Прочие доходы и расходы, н/у при н/о</v>
      </c>
    </row>
    <row r="545" spans="3:20" ht="33.75" x14ac:dyDescent="0.2">
      <c r="C545" s="36" t="s">
        <v>1087</v>
      </c>
      <c r="D545" s="62" t="s">
        <v>132</v>
      </c>
      <c r="E545" s="62"/>
      <c r="F545" s="62" t="s">
        <v>133</v>
      </c>
      <c r="G545" s="62">
        <v>69</v>
      </c>
      <c r="H545" s="62" t="s">
        <v>784</v>
      </c>
      <c r="I545" s="62" t="s">
        <v>134</v>
      </c>
      <c r="J545" s="62" t="s">
        <v>135</v>
      </c>
      <c r="K545" s="62"/>
      <c r="L545" s="72"/>
      <c r="M545" s="73"/>
      <c r="N545" s="52" t="b">
        <f t="shared" si="56"/>
        <v>0</v>
      </c>
      <c r="O545" s="52" t="b">
        <f t="shared" si="57"/>
        <v>0</v>
      </c>
      <c r="P545" s="52" t="b">
        <f t="shared" si="58"/>
        <v>0</v>
      </c>
      <c r="Q545" s="52" t="b">
        <f t="shared" si="59"/>
        <v>0</v>
      </c>
      <c r="R545" s="52" t="b">
        <f t="shared" si="60"/>
        <v>0</v>
      </c>
      <c r="S545" s="52" t="b">
        <f t="shared" si="61"/>
        <v>0</v>
      </c>
      <c r="T545" s="52" t="b">
        <f t="shared" si="62"/>
        <v>0</v>
      </c>
    </row>
    <row r="546" spans="3:20" x14ac:dyDescent="0.2">
      <c r="C546" s="36" t="s">
        <v>52</v>
      </c>
      <c r="D546" s="46" t="s">
        <v>802</v>
      </c>
      <c r="E546" s="47" t="s">
        <v>803</v>
      </c>
      <c r="F546" s="47"/>
      <c r="G546" s="47"/>
      <c r="H546" s="47"/>
      <c r="I546" s="47"/>
      <c r="J546" s="47"/>
      <c r="K546" s="47"/>
      <c r="L546" s="48"/>
      <c r="M546" s="47"/>
      <c r="N546" s="52" t="str">
        <f t="shared" si="56"/>
        <v>42.8.4.</v>
      </c>
      <c r="O546" s="52" t="str">
        <f t="shared" si="57"/>
        <v>90.10.1 / 90.10.11</v>
      </c>
      <c r="P546" s="52" t="str">
        <f t="shared" si="58"/>
        <v>Прочие расходы по текущей деятельности / -||- (по местам хранения)</v>
      </c>
      <c r="Q546" s="52">
        <f t="shared" si="59"/>
        <v>59</v>
      </c>
      <c r="R546" s="52" t="str">
        <f t="shared" si="60"/>
        <v>Безвозмездная спонсорская помощь по Указу 191</v>
      </c>
      <c r="S546" s="52" t="str">
        <f t="shared" si="61"/>
        <v>Виды прочих расходов</v>
      </c>
      <c r="T546" s="52" t="str">
        <f t="shared" si="62"/>
        <v>Резерв по сомнительным долгам</v>
      </c>
    </row>
    <row r="547" spans="3:20" ht="33.75" x14ac:dyDescent="0.2">
      <c r="C547" s="36" t="s">
        <v>1087</v>
      </c>
      <c r="D547" s="62" t="s">
        <v>132</v>
      </c>
      <c r="E547" s="62"/>
      <c r="F547" s="62" t="s">
        <v>133</v>
      </c>
      <c r="G547" s="62">
        <v>59</v>
      </c>
      <c r="H547" s="62" t="s">
        <v>784</v>
      </c>
      <c r="I547" s="62" t="s">
        <v>134</v>
      </c>
      <c r="J547" s="62" t="s">
        <v>135</v>
      </c>
      <c r="K547" s="62"/>
      <c r="L547" s="72"/>
      <c r="M547" s="73"/>
      <c r="N547" s="52" t="b">
        <f t="shared" si="56"/>
        <v>0</v>
      </c>
      <c r="O547" s="52" t="b">
        <f t="shared" si="57"/>
        <v>0</v>
      </c>
      <c r="P547" s="52" t="b">
        <f t="shared" si="58"/>
        <v>0</v>
      </c>
      <c r="Q547" s="52" t="b">
        <f t="shared" si="59"/>
        <v>0</v>
      </c>
      <c r="R547" s="52" t="b">
        <f t="shared" si="60"/>
        <v>0</v>
      </c>
      <c r="S547" s="52" t="b">
        <f t="shared" si="61"/>
        <v>0</v>
      </c>
      <c r="T547" s="52" t="b">
        <f t="shared" si="62"/>
        <v>0</v>
      </c>
    </row>
    <row r="548" spans="3:20" x14ac:dyDescent="0.2">
      <c r="C548" s="36" t="s">
        <v>52</v>
      </c>
      <c r="D548" s="46" t="s">
        <v>804</v>
      </c>
      <c r="E548" s="47" t="s">
        <v>805</v>
      </c>
      <c r="F548" s="47"/>
      <c r="G548" s="47"/>
      <c r="H548" s="47"/>
      <c r="I548" s="47"/>
      <c r="J548" s="47"/>
      <c r="K548" s="47"/>
      <c r="L548" s="48"/>
      <c r="M548" s="47"/>
      <c r="N548" s="52" t="str">
        <f t="shared" si="56"/>
        <v>42.8.5.</v>
      </c>
      <c r="O548" s="52" t="str">
        <f t="shared" si="57"/>
        <v>90.10.1 / 90.10.11</v>
      </c>
      <c r="P548" s="52" t="str">
        <f t="shared" si="58"/>
        <v>Прочие расходы по текущей деятельности / -||- (по местам хранения)</v>
      </c>
      <c r="Q548" s="52">
        <f t="shared" si="59"/>
        <v>58</v>
      </c>
      <c r="R548" s="52" t="str">
        <f t="shared" si="60"/>
        <v>Безвозмездная спонсорская помощь по Указу 191</v>
      </c>
      <c r="S548" s="52" t="str">
        <f t="shared" si="61"/>
        <v>Виды прочих расходов</v>
      </c>
      <c r="T548" s="52" t="str">
        <f t="shared" si="62"/>
        <v>Социальные льготы работникам</v>
      </c>
    </row>
    <row r="549" spans="3:20" ht="33.75" x14ac:dyDescent="0.2">
      <c r="C549" s="36" t="s">
        <v>1087</v>
      </c>
      <c r="D549" s="62" t="s">
        <v>132</v>
      </c>
      <c r="E549" s="62"/>
      <c r="F549" s="62" t="s">
        <v>133</v>
      </c>
      <c r="G549" s="62">
        <v>58</v>
      </c>
      <c r="H549" s="62" t="s">
        <v>784</v>
      </c>
      <c r="I549" s="62" t="s">
        <v>134</v>
      </c>
      <c r="J549" s="62" t="s">
        <v>135</v>
      </c>
      <c r="K549" s="62"/>
      <c r="L549" s="72"/>
      <c r="M549" s="73"/>
      <c r="N549" s="52" t="b">
        <f t="shared" si="56"/>
        <v>0</v>
      </c>
      <c r="O549" s="52" t="b">
        <f t="shared" si="57"/>
        <v>0</v>
      </c>
      <c r="P549" s="52" t="b">
        <f t="shared" si="58"/>
        <v>0</v>
      </c>
      <c r="Q549" s="52" t="b">
        <f t="shared" si="59"/>
        <v>0</v>
      </c>
      <c r="R549" s="52" t="b">
        <f t="shared" si="60"/>
        <v>0</v>
      </c>
      <c r="S549" s="52" t="b">
        <f t="shared" si="61"/>
        <v>0</v>
      </c>
      <c r="T549" s="52" t="b">
        <f t="shared" si="62"/>
        <v>0</v>
      </c>
    </row>
    <row r="550" spans="3:20" ht="22.5" x14ac:dyDescent="0.2">
      <c r="C550" s="36" t="s">
        <v>52</v>
      </c>
      <c r="D550" s="46" t="s">
        <v>806</v>
      </c>
      <c r="E550" s="47" t="s">
        <v>807</v>
      </c>
      <c r="F550" s="47"/>
      <c r="G550" s="47"/>
      <c r="H550" s="47"/>
      <c r="I550" s="47"/>
      <c r="J550" s="47"/>
      <c r="K550" s="47"/>
      <c r="L550" s="48"/>
      <c r="M550" s="47"/>
      <c r="N550" s="52" t="str">
        <f t="shared" si="56"/>
        <v>42.8.6.</v>
      </c>
      <c r="O550" s="52" t="str">
        <f t="shared" si="57"/>
        <v>90.10.1 / 90.10.11</v>
      </c>
      <c r="P550" s="52" t="str">
        <f t="shared" si="58"/>
        <v>Прочие расходы по текущей деятельности / -||- (по местам хранения)</v>
      </c>
      <c r="Q550" s="52">
        <f t="shared" si="59"/>
        <v>45</v>
      </c>
      <c r="R550" s="52" t="str">
        <f t="shared" si="60"/>
        <v>Безвозмездная спонсорская помощь по Указу 191</v>
      </c>
      <c r="S550" s="52" t="str">
        <f t="shared" si="61"/>
        <v>Виды прочих расходов</v>
      </c>
      <c r="T550" s="52" t="str">
        <f t="shared" si="62"/>
        <v>Списание дебиторской задолженности</v>
      </c>
    </row>
    <row r="551" spans="3:20" ht="33.75" x14ac:dyDescent="0.2">
      <c r="C551" s="36" t="s">
        <v>1087</v>
      </c>
      <c r="D551" s="62" t="s">
        <v>132</v>
      </c>
      <c r="E551" s="62"/>
      <c r="F551" s="62" t="s">
        <v>133</v>
      </c>
      <c r="G551" s="62">
        <v>45</v>
      </c>
      <c r="H551" s="62" t="s">
        <v>784</v>
      </c>
      <c r="I551" s="62" t="s">
        <v>134</v>
      </c>
      <c r="J551" s="62" t="s">
        <v>135</v>
      </c>
      <c r="K551" s="62"/>
      <c r="L551" s="72"/>
      <c r="M551" s="73"/>
      <c r="N551" s="52" t="b">
        <f t="shared" si="56"/>
        <v>0</v>
      </c>
      <c r="O551" s="52" t="b">
        <f t="shared" si="57"/>
        <v>0</v>
      </c>
      <c r="P551" s="52" t="b">
        <f t="shared" si="58"/>
        <v>0</v>
      </c>
      <c r="Q551" s="52" t="b">
        <f t="shared" si="59"/>
        <v>0</v>
      </c>
      <c r="R551" s="52" t="b">
        <f t="shared" si="60"/>
        <v>0</v>
      </c>
      <c r="S551" s="52" t="b">
        <f t="shared" si="61"/>
        <v>0</v>
      </c>
      <c r="T551" s="52" t="b">
        <f t="shared" si="62"/>
        <v>0</v>
      </c>
    </row>
    <row r="552" spans="3:20" x14ac:dyDescent="0.2">
      <c r="C552" s="36" t="s">
        <v>52</v>
      </c>
      <c r="D552" s="46" t="s">
        <v>808</v>
      </c>
      <c r="E552" s="47" t="s">
        <v>809</v>
      </c>
      <c r="F552" s="47"/>
      <c r="G552" s="47"/>
      <c r="H552" s="47"/>
      <c r="I552" s="47"/>
      <c r="J552" s="47"/>
      <c r="K552" s="47"/>
      <c r="L552" s="48"/>
      <c r="M552" s="47"/>
      <c r="N552" s="52" t="str">
        <f t="shared" si="56"/>
        <v>42.8.7.</v>
      </c>
      <c r="O552" s="52" t="str">
        <f t="shared" si="57"/>
        <v>90.10.1 / 90.10.11</v>
      </c>
      <c r="P552" s="52" t="str">
        <f t="shared" si="58"/>
        <v>Прочие расходы по текущей деятельности / -||- (по местам хранения)</v>
      </c>
      <c r="Q552" s="52">
        <f t="shared" si="59"/>
        <v>127</v>
      </c>
      <c r="R552" s="52" t="str">
        <f t="shared" si="60"/>
        <v>Безвозмездная спонсорская помощь по Указу 191</v>
      </c>
      <c r="S552" s="52" t="str">
        <f t="shared" si="61"/>
        <v>Виды прочих расходов</v>
      </c>
      <c r="T552" s="52" t="str">
        <f t="shared" si="62"/>
        <v>Сравнительная дегустация</v>
      </c>
    </row>
    <row r="553" spans="3:20" ht="33.75" x14ac:dyDescent="0.2">
      <c r="C553" s="36" t="s">
        <v>1087</v>
      </c>
      <c r="D553" s="62" t="s">
        <v>132</v>
      </c>
      <c r="E553" s="62"/>
      <c r="F553" s="62" t="s">
        <v>133</v>
      </c>
      <c r="G553" s="62">
        <v>127</v>
      </c>
      <c r="H553" s="62" t="s">
        <v>784</v>
      </c>
      <c r="I553" s="62" t="s">
        <v>134</v>
      </c>
      <c r="J553" s="62" t="s">
        <v>135</v>
      </c>
      <c r="K553" s="62"/>
      <c r="L553" s="72"/>
      <c r="M553" s="73"/>
      <c r="N553" s="52" t="b">
        <f t="shared" si="56"/>
        <v>0</v>
      </c>
      <c r="O553" s="52" t="b">
        <f t="shared" si="57"/>
        <v>0</v>
      </c>
      <c r="P553" s="52" t="b">
        <f t="shared" si="58"/>
        <v>0</v>
      </c>
      <c r="Q553" s="52" t="b">
        <f t="shared" si="59"/>
        <v>0</v>
      </c>
      <c r="R553" s="52" t="b">
        <f t="shared" si="60"/>
        <v>0</v>
      </c>
      <c r="S553" s="52" t="b">
        <f t="shared" si="61"/>
        <v>0</v>
      </c>
      <c r="T553" s="52" t="b">
        <f t="shared" si="62"/>
        <v>0</v>
      </c>
    </row>
    <row r="554" spans="3:20" x14ac:dyDescent="0.2">
      <c r="C554" s="36" t="s">
        <v>52</v>
      </c>
      <c r="D554" s="46" t="s">
        <v>810</v>
      </c>
      <c r="E554" s="47" t="s">
        <v>811</v>
      </c>
      <c r="F554" s="47"/>
      <c r="G554" s="47"/>
      <c r="H554" s="47"/>
      <c r="I554" s="47"/>
      <c r="J554" s="47"/>
      <c r="K554" s="47"/>
      <c r="L554" s="48"/>
      <c r="M554" s="47"/>
      <c r="N554" s="52" t="str">
        <f t="shared" si="56"/>
        <v>42.8.8.</v>
      </c>
      <c r="O554" s="52" t="str">
        <f t="shared" si="57"/>
        <v>90.10.1 / 90.10.11</v>
      </c>
      <c r="P554" s="52" t="str">
        <f t="shared" si="58"/>
        <v>Прочие расходы по текущей деятельности / -||- (по местам хранения)</v>
      </c>
      <c r="Q554" s="52">
        <f t="shared" si="59"/>
        <v>123</v>
      </c>
      <c r="R554" s="52" t="str">
        <f t="shared" si="60"/>
        <v>Безвозмездная спонсорская помощь по Указу 191</v>
      </c>
      <c r="S554" s="52" t="str">
        <f t="shared" si="61"/>
        <v>Виды прочих расходов</v>
      </c>
      <c r="T554" s="52" t="str">
        <f t="shared" si="62"/>
        <v>Услуги покупателям</v>
      </c>
    </row>
    <row r="555" spans="3:20" ht="33.75" x14ac:dyDescent="0.2">
      <c r="C555" s="36" t="s">
        <v>1087</v>
      </c>
      <c r="D555" s="62" t="s">
        <v>132</v>
      </c>
      <c r="E555" s="62"/>
      <c r="F555" s="62" t="s">
        <v>133</v>
      </c>
      <c r="G555" s="62">
        <v>123</v>
      </c>
      <c r="H555" s="62" t="s">
        <v>784</v>
      </c>
      <c r="I555" s="62" t="s">
        <v>134</v>
      </c>
      <c r="J555" s="62" t="s">
        <v>135</v>
      </c>
      <c r="K555" s="62"/>
      <c r="L555" s="72"/>
      <c r="M555" s="73"/>
      <c r="N555" s="52" t="b">
        <f t="shared" si="56"/>
        <v>0</v>
      </c>
      <c r="O555" s="52" t="b">
        <f t="shared" si="57"/>
        <v>0</v>
      </c>
      <c r="P555" s="52" t="b">
        <f t="shared" si="58"/>
        <v>0</v>
      </c>
      <c r="Q555" s="52" t="b">
        <f t="shared" si="59"/>
        <v>0</v>
      </c>
      <c r="R555" s="52" t="b">
        <f t="shared" si="60"/>
        <v>0</v>
      </c>
      <c r="S555" s="52" t="b">
        <f t="shared" si="61"/>
        <v>0</v>
      </c>
      <c r="T555" s="52" t="b">
        <f t="shared" si="62"/>
        <v>0</v>
      </c>
    </row>
    <row r="556" spans="3:20" ht="22.5" x14ac:dyDescent="0.2">
      <c r="C556" s="36" t="s">
        <v>52</v>
      </c>
      <c r="D556" s="46" t="s">
        <v>812</v>
      </c>
      <c r="E556" s="47" t="s">
        <v>813</v>
      </c>
      <c r="F556" s="47"/>
      <c r="G556" s="47"/>
      <c r="H556" s="47"/>
      <c r="I556" s="47"/>
      <c r="J556" s="47"/>
      <c r="K556" s="47"/>
      <c r="L556" s="48"/>
      <c r="M556" s="47"/>
      <c r="N556" s="52" t="str">
        <f t="shared" si="56"/>
        <v>42.8.9.</v>
      </c>
      <c r="O556" s="52" t="str">
        <f t="shared" si="57"/>
        <v>90.10.1 / 90.10.11</v>
      </c>
      <c r="P556" s="52" t="str">
        <f t="shared" si="58"/>
        <v>Прочие расходы по текущей деятельности / -||- (по местам хранения)</v>
      </c>
      <c r="Q556" s="52">
        <f t="shared" si="59"/>
        <v>84</v>
      </c>
      <c r="R556" s="52" t="str">
        <f t="shared" si="60"/>
        <v>Безвозмездная спонсорская помощь по Указу 191</v>
      </c>
      <c r="S556" s="52" t="str">
        <f t="shared" si="61"/>
        <v>Виды прочих расходов</v>
      </c>
      <c r="T556" s="52" t="str">
        <f t="shared" si="62"/>
        <v>Госпошлина по суду, судебные расходы</v>
      </c>
    </row>
    <row r="557" spans="3:20" ht="33.75" x14ac:dyDescent="0.2">
      <c r="C557" s="36" t="s">
        <v>1087</v>
      </c>
      <c r="D557" s="62" t="s">
        <v>132</v>
      </c>
      <c r="E557" s="62"/>
      <c r="F557" s="62" t="s">
        <v>133</v>
      </c>
      <c r="G557" s="62">
        <v>84</v>
      </c>
      <c r="H557" s="62" t="s">
        <v>784</v>
      </c>
      <c r="I557" s="62" t="s">
        <v>134</v>
      </c>
      <c r="J557" s="62" t="s">
        <v>135</v>
      </c>
      <c r="K557" s="62"/>
      <c r="L557" s="72"/>
      <c r="M557" s="73"/>
      <c r="N557" s="52" t="b">
        <f t="shared" si="56"/>
        <v>0</v>
      </c>
      <c r="O557" s="52" t="b">
        <f t="shared" si="57"/>
        <v>0</v>
      </c>
      <c r="P557" s="52" t="b">
        <f t="shared" si="58"/>
        <v>0</v>
      </c>
      <c r="Q557" s="52" t="b">
        <f t="shared" si="59"/>
        <v>0</v>
      </c>
      <c r="R557" s="52" t="b">
        <f t="shared" si="60"/>
        <v>0</v>
      </c>
      <c r="S557" s="52" t="b">
        <f t="shared" si="61"/>
        <v>0</v>
      </c>
      <c r="T557" s="52" t="b">
        <f t="shared" si="62"/>
        <v>0</v>
      </c>
    </row>
    <row r="558" spans="3:20" ht="33.75" x14ac:dyDescent="0.2">
      <c r="C558" s="36" t="s">
        <v>52</v>
      </c>
      <c r="D558" s="46" t="s">
        <v>814</v>
      </c>
      <c r="E558" s="47" t="s">
        <v>815</v>
      </c>
      <c r="F558" s="47"/>
      <c r="G558" s="47"/>
      <c r="H558" s="47"/>
      <c r="I558" s="47"/>
      <c r="J558" s="47"/>
      <c r="K558" s="47"/>
      <c r="L558" s="48"/>
      <c r="M558" s="47"/>
      <c r="N558" s="52" t="str">
        <f t="shared" si="56"/>
        <v>42.8.10.</v>
      </c>
      <c r="O558" s="52" t="str">
        <f t="shared" si="57"/>
        <v>90.10.1 / 90.10.11</v>
      </c>
      <c r="P558" s="52" t="str">
        <f t="shared" si="58"/>
        <v>Прочие расходы по текущей деятельности / -||- (по местам хранения)</v>
      </c>
      <c r="Q558" s="52">
        <f t="shared" si="59"/>
        <v>129</v>
      </c>
      <c r="R558" s="52" t="str">
        <f t="shared" si="60"/>
        <v>Безвозмездная спонсорская помощь по Указу 191</v>
      </c>
      <c r="S558" s="52" t="str">
        <f t="shared" si="61"/>
        <v>Виды прочих расходов</v>
      </c>
      <c r="T558" s="52" t="str">
        <f t="shared" si="62"/>
        <v>Компенс-я расх. на фин. работ (услуг) по сод. и эспл. системы монит-га</v>
      </c>
    </row>
    <row r="559" spans="3:20" ht="33.75" x14ac:dyDescent="0.2">
      <c r="C559" s="36" t="s">
        <v>1087</v>
      </c>
      <c r="D559" s="62" t="s">
        <v>132</v>
      </c>
      <c r="E559" s="62"/>
      <c r="F559" s="62" t="s">
        <v>133</v>
      </c>
      <c r="G559" s="62">
        <v>129</v>
      </c>
      <c r="H559" s="62" t="s">
        <v>784</v>
      </c>
      <c r="I559" s="62" t="s">
        <v>134</v>
      </c>
      <c r="J559" s="62" t="s">
        <v>135</v>
      </c>
      <c r="K559" s="62"/>
      <c r="L559" s="72"/>
      <c r="M559" s="73"/>
      <c r="N559" s="52" t="b">
        <f t="shared" si="56"/>
        <v>0</v>
      </c>
      <c r="O559" s="52" t="b">
        <f t="shared" si="57"/>
        <v>0</v>
      </c>
      <c r="P559" s="52" t="b">
        <f t="shared" si="58"/>
        <v>0</v>
      </c>
      <c r="Q559" s="52" t="b">
        <f t="shared" si="59"/>
        <v>0</v>
      </c>
      <c r="R559" s="52" t="b">
        <f t="shared" si="60"/>
        <v>0</v>
      </c>
      <c r="S559" s="52" t="b">
        <f t="shared" si="61"/>
        <v>0</v>
      </c>
      <c r="T559" s="52" t="b">
        <f t="shared" si="62"/>
        <v>0</v>
      </c>
    </row>
    <row r="560" spans="3:20" ht="22.5" x14ac:dyDescent="0.2">
      <c r="C560" s="36" t="s">
        <v>52</v>
      </c>
      <c r="D560" s="46" t="s">
        <v>816</v>
      </c>
      <c r="E560" s="47" t="s">
        <v>817</v>
      </c>
      <c r="F560" s="47"/>
      <c r="G560" s="47"/>
      <c r="H560" s="47"/>
      <c r="I560" s="47"/>
      <c r="J560" s="47"/>
      <c r="K560" s="47"/>
      <c r="L560" s="48"/>
      <c r="M560" s="47"/>
      <c r="N560" s="52" t="str">
        <f t="shared" si="56"/>
        <v>42.8.11.</v>
      </c>
      <c r="O560" s="52" t="str">
        <f t="shared" si="57"/>
        <v>90.10.1 / 90.10.11</v>
      </c>
      <c r="P560" s="52" t="str">
        <f t="shared" si="58"/>
        <v>Прочие расходы по текущей деятельности / -||- (по местам хранения)</v>
      </c>
      <c r="Q560" s="52">
        <f t="shared" si="59"/>
        <v>70</v>
      </c>
      <c r="R560" s="52" t="str">
        <f t="shared" si="60"/>
        <v>Безвозмездная спонсорская помощь по Указу 191</v>
      </c>
      <c r="S560" s="52" t="str">
        <f t="shared" si="61"/>
        <v>Виды прочих расходов</v>
      </c>
      <c r="T560" s="52" t="str">
        <f t="shared" si="62"/>
        <v>Прочие доходы и расходы, учит.  при н/о</v>
      </c>
    </row>
    <row r="561" spans="3:20" ht="33.75" x14ac:dyDescent="0.2">
      <c r="C561" s="36" t="s">
        <v>1087</v>
      </c>
      <c r="D561" s="62" t="s">
        <v>132</v>
      </c>
      <c r="E561" s="62"/>
      <c r="F561" s="62" t="s">
        <v>133</v>
      </c>
      <c r="G561" s="62">
        <v>70</v>
      </c>
      <c r="H561" s="62" t="s">
        <v>784</v>
      </c>
      <c r="I561" s="62" t="s">
        <v>134</v>
      </c>
      <c r="J561" s="62" t="s">
        <v>135</v>
      </c>
      <c r="K561" s="62"/>
      <c r="L561" s="72"/>
      <c r="M561" s="73"/>
      <c r="N561" s="52" t="b">
        <f t="shared" si="56"/>
        <v>0</v>
      </c>
      <c r="O561" s="52" t="b">
        <f t="shared" si="57"/>
        <v>0</v>
      </c>
      <c r="P561" s="52" t="b">
        <f t="shared" si="58"/>
        <v>0</v>
      </c>
      <c r="Q561" s="52" t="b">
        <f t="shared" si="59"/>
        <v>0</v>
      </c>
      <c r="R561" s="52" t="b">
        <f t="shared" si="60"/>
        <v>0</v>
      </c>
      <c r="S561" s="52" t="b">
        <f t="shared" si="61"/>
        <v>0</v>
      </c>
      <c r="T561" s="52" t="b">
        <f t="shared" si="62"/>
        <v>0</v>
      </c>
    </row>
    <row r="562" spans="3:20" ht="33.75" x14ac:dyDescent="0.2">
      <c r="C562" s="36" t="s">
        <v>52</v>
      </c>
      <c r="D562" s="46" t="s">
        <v>818</v>
      </c>
      <c r="E562" s="47" t="s">
        <v>819</v>
      </c>
      <c r="F562" s="47"/>
      <c r="G562" s="47"/>
      <c r="H562" s="47"/>
      <c r="I562" s="47"/>
      <c r="J562" s="47"/>
      <c r="K562" s="47"/>
      <c r="L562" s="48"/>
      <c r="M562" s="47"/>
      <c r="N562" s="52" t="str">
        <f t="shared" si="56"/>
        <v>42.8.12.</v>
      </c>
      <c r="O562" s="52" t="str">
        <f t="shared" si="57"/>
        <v>90.10.1 / 90.10.11</v>
      </c>
      <c r="P562" s="52" t="str">
        <f t="shared" si="58"/>
        <v>Прочие расходы по текущей деятельности / -||- (по местам хранения)</v>
      </c>
      <c r="Q562" s="52">
        <f t="shared" si="59"/>
        <v>68</v>
      </c>
      <c r="R562" s="52" t="str">
        <f t="shared" si="60"/>
        <v>Безвозмездная спонсорская помощь по Указу 191</v>
      </c>
      <c r="S562" s="52" t="str">
        <f t="shared" si="61"/>
        <v>Виды прочих расходов</v>
      </c>
      <c r="T562" s="52" t="str">
        <f t="shared" si="62"/>
        <v>Разница между суммой,подл.взыск.и баланс.стоим.ТМЦ</v>
      </c>
    </row>
    <row r="563" spans="3:20" ht="33.75" x14ac:dyDescent="0.2">
      <c r="C563" s="36" t="s">
        <v>1087</v>
      </c>
      <c r="D563" s="62" t="s">
        <v>132</v>
      </c>
      <c r="E563" s="62"/>
      <c r="F563" s="62" t="s">
        <v>133</v>
      </c>
      <c r="G563" s="62">
        <v>68</v>
      </c>
      <c r="H563" s="62" t="s">
        <v>784</v>
      </c>
      <c r="I563" s="62" t="s">
        <v>134</v>
      </c>
      <c r="J563" s="62" t="s">
        <v>135</v>
      </c>
      <c r="K563" s="62"/>
      <c r="L563" s="72"/>
      <c r="M563" s="73"/>
      <c r="N563" s="52" t="b">
        <f t="shared" si="56"/>
        <v>0</v>
      </c>
      <c r="O563" s="52" t="b">
        <f t="shared" si="57"/>
        <v>0</v>
      </c>
      <c r="P563" s="52" t="b">
        <f t="shared" si="58"/>
        <v>0</v>
      </c>
      <c r="Q563" s="52" t="b">
        <f t="shared" si="59"/>
        <v>0</v>
      </c>
      <c r="R563" s="52" t="b">
        <f t="shared" si="60"/>
        <v>0</v>
      </c>
      <c r="S563" s="52" t="b">
        <f t="shared" si="61"/>
        <v>0</v>
      </c>
      <c r="T563" s="52" t="b">
        <f t="shared" si="62"/>
        <v>0</v>
      </c>
    </row>
    <row r="564" spans="3:20" x14ac:dyDescent="0.2">
      <c r="C564" s="36" t="s">
        <v>52</v>
      </c>
      <c r="D564" s="46" t="s">
        <v>820</v>
      </c>
      <c r="E564" s="47" t="s">
        <v>821</v>
      </c>
      <c r="F564" s="47"/>
      <c r="G564" s="47"/>
      <c r="H564" s="47"/>
      <c r="I564" s="47"/>
      <c r="J564" s="47"/>
      <c r="K564" s="47"/>
      <c r="L564" s="93"/>
      <c r="M564" s="47"/>
      <c r="N564" s="52" t="str">
        <f t="shared" si="56"/>
        <v>42.8.13.</v>
      </c>
      <c r="O564" s="52" t="str">
        <f t="shared" si="57"/>
        <v>90.10.1 / 90.10.11</v>
      </c>
      <c r="P564" s="52" t="str">
        <f t="shared" si="58"/>
        <v>Прочие расходы по текущей деятельности / -||- (по местам хранения)</v>
      </c>
      <c r="Q564" s="52">
        <f t="shared" si="59"/>
        <v>4</v>
      </c>
      <c r="R564" s="52" t="str">
        <f t="shared" si="60"/>
        <v>Безвозмездная спонсорская помощь по Указу 191</v>
      </c>
      <c r="S564" s="52" t="str">
        <f t="shared" si="61"/>
        <v>Виды прочих расходов</v>
      </c>
      <c r="T564" s="52" t="str">
        <f t="shared" si="62"/>
        <v>Реализация материалов</v>
      </c>
    </row>
    <row r="565" spans="3:20" ht="33.75" x14ac:dyDescent="0.2">
      <c r="C565" s="36" t="s">
        <v>1087</v>
      </c>
      <c r="D565" s="62" t="s">
        <v>132</v>
      </c>
      <c r="E565" s="62"/>
      <c r="F565" s="62" t="s">
        <v>133</v>
      </c>
      <c r="G565" s="62">
        <v>4</v>
      </c>
      <c r="H565" s="62" t="s">
        <v>784</v>
      </c>
      <c r="I565" s="62" t="s">
        <v>134</v>
      </c>
      <c r="J565" s="62" t="s">
        <v>135</v>
      </c>
      <c r="K565" s="62"/>
      <c r="L565" s="72"/>
      <c r="M565" s="73"/>
      <c r="N565" s="52" t="b">
        <f t="shared" si="56"/>
        <v>0</v>
      </c>
      <c r="O565" s="52" t="b">
        <f t="shared" si="57"/>
        <v>0</v>
      </c>
      <c r="P565" s="52" t="b">
        <f t="shared" si="58"/>
        <v>0</v>
      </c>
      <c r="Q565" s="52" t="b">
        <f t="shared" si="59"/>
        <v>0</v>
      </c>
      <c r="R565" s="52" t="b">
        <f t="shared" si="60"/>
        <v>0</v>
      </c>
      <c r="S565" s="52" t="b">
        <f t="shared" si="61"/>
        <v>0</v>
      </c>
      <c r="T565" s="52" t="b">
        <f t="shared" si="62"/>
        <v>0</v>
      </c>
    </row>
    <row r="566" spans="3:20" x14ac:dyDescent="0.2">
      <c r="C566" s="36" t="s">
        <v>52</v>
      </c>
      <c r="D566" s="46" t="s">
        <v>822</v>
      </c>
      <c r="E566" s="47" t="s">
        <v>823</v>
      </c>
      <c r="F566" s="47"/>
      <c r="G566" s="47"/>
      <c r="H566" s="47"/>
      <c r="I566" s="47"/>
      <c r="J566" s="47"/>
      <c r="K566" s="47"/>
      <c r="L566" s="93"/>
      <c r="M566" s="48"/>
      <c r="N566" s="52" t="str">
        <f t="shared" si="56"/>
        <v>42.8.14.</v>
      </c>
      <c r="O566" s="52" t="str">
        <f t="shared" si="57"/>
        <v>90.10.1 / 90.10.11</v>
      </c>
      <c r="P566" s="52" t="str">
        <f t="shared" si="58"/>
        <v>Прочие расходы по текущей деятельности / -||- (по местам хранения)</v>
      </c>
      <c r="Q566" s="52">
        <f t="shared" si="59"/>
        <v>8</v>
      </c>
      <c r="R566" s="52" t="str">
        <f t="shared" si="60"/>
        <v>Безвозмездная спонсорская помощь по Указу 191</v>
      </c>
      <c r="S566" s="52" t="str">
        <f t="shared" si="61"/>
        <v>Виды прочих расходов</v>
      </c>
      <c r="T566" s="52" t="str">
        <f t="shared" si="62"/>
        <v>Реализация тары</v>
      </c>
    </row>
    <row r="567" spans="3:20" ht="33.75" x14ac:dyDescent="0.2">
      <c r="C567" s="36" t="s">
        <v>1087</v>
      </c>
      <c r="D567" s="62" t="s">
        <v>132</v>
      </c>
      <c r="E567" s="62"/>
      <c r="F567" s="62" t="s">
        <v>133</v>
      </c>
      <c r="G567" s="62">
        <v>8</v>
      </c>
      <c r="H567" s="62" t="s">
        <v>784</v>
      </c>
      <c r="I567" s="62" t="s">
        <v>134</v>
      </c>
      <c r="J567" s="62" t="s">
        <v>135</v>
      </c>
      <c r="K567" s="62"/>
      <c r="L567" s="72"/>
      <c r="M567" s="73"/>
      <c r="N567" s="52" t="b">
        <f t="shared" si="56"/>
        <v>0</v>
      </c>
      <c r="O567" s="52" t="b">
        <f t="shared" si="57"/>
        <v>0</v>
      </c>
      <c r="P567" s="52" t="b">
        <f t="shared" si="58"/>
        <v>0</v>
      </c>
      <c r="Q567" s="52" t="b">
        <f t="shared" si="59"/>
        <v>0</v>
      </c>
      <c r="R567" s="52" t="b">
        <f t="shared" si="60"/>
        <v>0</v>
      </c>
      <c r="S567" s="52" t="b">
        <f t="shared" si="61"/>
        <v>0</v>
      </c>
      <c r="T567" s="52" t="b">
        <f t="shared" si="62"/>
        <v>0</v>
      </c>
    </row>
    <row r="568" spans="3:20" ht="22.5" x14ac:dyDescent="0.2">
      <c r="C568" s="36" t="s">
        <v>52</v>
      </c>
      <c r="D568" s="46" t="s">
        <v>824</v>
      </c>
      <c r="E568" s="47" t="s">
        <v>825</v>
      </c>
      <c r="F568" s="47"/>
      <c r="G568" s="47"/>
      <c r="H568" s="47"/>
      <c r="I568" s="47"/>
      <c r="J568" s="47"/>
      <c r="K568" s="47"/>
      <c r="L568" s="93"/>
      <c r="M568" s="48"/>
      <c r="N568" s="52" t="str">
        <f t="shared" si="56"/>
        <v>42.8.15.</v>
      </c>
      <c r="O568" s="52" t="str">
        <f t="shared" si="57"/>
        <v>90.10.1 / 90.10.11</v>
      </c>
      <c r="P568" s="52" t="str">
        <f t="shared" si="58"/>
        <v>Прочие расходы по текущей деятельности / -||- (по местам хранения)</v>
      </c>
      <c r="Q568" s="52">
        <f t="shared" si="59"/>
        <v>134</v>
      </c>
      <c r="R568" s="52" t="str">
        <f t="shared" si="60"/>
        <v>Безвозмездная спонсорская помощь по Указу 191</v>
      </c>
      <c r="S568" s="52" t="str">
        <f t="shared" si="61"/>
        <v>Виды прочих расходов</v>
      </c>
      <c r="T568" s="52" t="str">
        <f t="shared" si="62"/>
        <v>Списание тары, пришедшей в негодность</v>
      </c>
    </row>
    <row r="569" spans="3:20" ht="33.75" x14ac:dyDescent="0.2">
      <c r="C569" s="36" t="s">
        <v>1087</v>
      </c>
      <c r="D569" s="62" t="s">
        <v>132</v>
      </c>
      <c r="E569" s="62"/>
      <c r="F569" s="62" t="s">
        <v>133</v>
      </c>
      <c r="G569" s="62">
        <v>134</v>
      </c>
      <c r="H569" s="62" t="s">
        <v>784</v>
      </c>
      <c r="I569" s="62" t="s">
        <v>134</v>
      </c>
      <c r="J569" s="62" t="s">
        <v>135</v>
      </c>
      <c r="K569" s="62"/>
      <c r="L569" s="72"/>
      <c r="M569" s="73"/>
      <c r="N569" s="52" t="b">
        <f t="shared" si="56"/>
        <v>0</v>
      </c>
      <c r="O569" s="52" t="b">
        <f t="shared" si="57"/>
        <v>0</v>
      </c>
      <c r="P569" s="52" t="b">
        <f t="shared" si="58"/>
        <v>0</v>
      </c>
      <c r="Q569" s="52" t="b">
        <f t="shared" si="59"/>
        <v>0</v>
      </c>
      <c r="R569" s="52" t="b">
        <f t="shared" si="60"/>
        <v>0</v>
      </c>
      <c r="S569" s="52" t="b">
        <f t="shared" si="61"/>
        <v>0</v>
      </c>
      <c r="T569" s="52" t="b">
        <f t="shared" si="62"/>
        <v>0</v>
      </c>
    </row>
    <row r="570" spans="3:20" ht="22.5" hidden="1" x14ac:dyDescent="0.2">
      <c r="C570" s="35"/>
      <c r="D570" s="35" t="s">
        <v>98</v>
      </c>
      <c r="E570" s="35" t="s">
        <v>99</v>
      </c>
      <c r="F570" s="35" t="s">
        <v>100</v>
      </c>
      <c r="G570" s="35" t="s">
        <v>101</v>
      </c>
      <c r="H570" s="35" t="s">
        <v>102</v>
      </c>
      <c r="I570" s="35" t="s">
        <v>103</v>
      </c>
      <c r="J570" s="35" t="s">
        <v>104</v>
      </c>
      <c r="K570" s="35" t="s">
        <v>105</v>
      </c>
      <c r="L570" s="35" t="s">
        <v>106</v>
      </c>
      <c r="M570" s="35" t="s">
        <v>107</v>
      </c>
      <c r="N570" s="52" t="b">
        <f t="shared" si="56"/>
        <v>0</v>
      </c>
      <c r="O570" s="52" t="b">
        <f t="shared" si="57"/>
        <v>0</v>
      </c>
      <c r="P570" s="52" t="b">
        <f t="shared" si="58"/>
        <v>0</v>
      </c>
      <c r="Q570" s="52" t="b">
        <f t="shared" si="59"/>
        <v>0</v>
      </c>
      <c r="R570" s="52" t="b">
        <f t="shared" si="60"/>
        <v>0</v>
      </c>
      <c r="S570" s="52" t="b">
        <f t="shared" si="61"/>
        <v>0</v>
      </c>
      <c r="T570" s="52" t="b">
        <f t="shared" si="62"/>
        <v>0</v>
      </c>
    </row>
    <row r="571" spans="3:20" ht="22.5" x14ac:dyDescent="0.2">
      <c r="C571" s="36" t="s">
        <v>52</v>
      </c>
      <c r="D571" s="37">
        <v>43</v>
      </c>
      <c r="E571" s="38" t="s">
        <v>826</v>
      </c>
      <c r="F571" s="38"/>
      <c r="G571" s="38"/>
      <c r="H571" s="38"/>
      <c r="I571" s="38"/>
      <c r="J571" s="38"/>
      <c r="K571" s="38"/>
      <c r="L571" s="39"/>
      <c r="M571" s="39" t="s">
        <v>827</v>
      </c>
      <c r="N571" s="52" t="b">
        <f t="shared" si="56"/>
        <v>0</v>
      </c>
      <c r="O571" s="52" t="b">
        <f t="shared" si="57"/>
        <v>0</v>
      </c>
      <c r="P571" s="52" t="b">
        <f t="shared" si="58"/>
        <v>0</v>
      </c>
      <c r="Q571" s="52" t="b">
        <f t="shared" si="59"/>
        <v>0</v>
      </c>
      <c r="R571" s="52" t="b">
        <f t="shared" si="60"/>
        <v>0</v>
      </c>
      <c r="S571" s="52" t="b">
        <f t="shared" si="61"/>
        <v>0</v>
      </c>
      <c r="T571" s="52" t="b">
        <f t="shared" si="62"/>
        <v>0</v>
      </c>
    </row>
    <row r="572" spans="3:20" x14ac:dyDescent="0.2">
      <c r="C572" s="36" t="s">
        <v>52</v>
      </c>
      <c r="D572" s="46" t="s">
        <v>828</v>
      </c>
      <c r="E572" s="47" t="s">
        <v>19</v>
      </c>
      <c r="F572" s="47"/>
      <c r="G572" s="47"/>
      <c r="H572" s="47"/>
      <c r="I572" s="47"/>
      <c r="J572" s="47"/>
      <c r="K572" s="47"/>
      <c r="L572" s="48"/>
      <c r="M572" s="48" t="s">
        <v>829</v>
      </c>
      <c r="N572" s="52" t="b">
        <f t="shared" si="56"/>
        <v>0</v>
      </c>
      <c r="O572" s="52" t="b">
        <f t="shared" si="57"/>
        <v>0</v>
      </c>
      <c r="P572" s="52" t="b">
        <f t="shared" si="58"/>
        <v>0</v>
      </c>
      <c r="Q572" s="52" t="b">
        <f t="shared" si="59"/>
        <v>0</v>
      </c>
      <c r="R572" s="52" t="b">
        <f t="shared" si="60"/>
        <v>0</v>
      </c>
      <c r="S572" s="52" t="b">
        <f t="shared" si="61"/>
        <v>0</v>
      </c>
      <c r="T572" s="52" t="b">
        <f t="shared" si="62"/>
        <v>0</v>
      </c>
    </row>
    <row r="573" spans="3:20" ht="22.5" x14ac:dyDescent="0.2">
      <c r="C573" s="36" t="s">
        <v>52</v>
      </c>
      <c r="D573" s="37">
        <v>44</v>
      </c>
      <c r="E573" s="38" t="s">
        <v>77</v>
      </c>
      <c r="F573" s="38"/>
      <c r="G573" s="38"/>
      <c r="H573" s="38"/>
      <c r="I573" s="38"/>
      <c r="J573" s="38"/>
      <c r="K573" s="38"/>
      <c r="L573" s="39"/>
      <c r="M573" s="39"/>
      <c r="N573" s="52" t="b">
        <f t="shared" si="56"/>
        <v>0</v>
      </c>
      <c r="O573" s="52" t="b">
        <f t="shared" si="57"/>
        <v>0</v>
      </c>
      <c r="P573" s="52" t="b">
        <f t="shared" si="58"/>
        <v>0</v>
      </c>
      <c r="Q573" s="52" t="b">
        <f t="shared" si="59"/>
        <v>0</v>
      </c>
      <c r="R573" s="52" t="b">
        <f t="shared" si="60"/>
        <v>0</v>
      </c>
      <c r="S573" s="52" t="b">
        <f t="shared" si="61"/>
        <v>0</v>
      </c>
      <c r="T573" s="52" t="b">
        <f t="shared" si="62"/>
        <v>0</v>
      </c>
    </row>
    <row r="574" spans="3:20" ht="22.5" x14ac:dyDescent="0.2">
      <c r="C574" s="36" t="s">
        <v>52</v>
      </c>
      <c r="D574" s="49" t="s">
        <v>78</v>
      </c>
      <c r="E574" s="50" t="s">
        <v>79</v>
      </c>
      <c r="F574" s="50"/>
      <c r="G574" s="50"/>
      <c r="H574" s="50"/>
      <c r="I574" s="50"/>
      <c r="J574" s="50"/>
      <c r="K574" s="50"/>
      <c r="L574" s="51"/>
      <c r="M574" s="51" t="s">
        <v>830</v>
      </c>
      <c r="N574" s="52" t="b">
        <f t="shared" si="56"/>
        <v>0</v>
      </c>
      <c r="O574" s="52" t="b">
        <f t="shared" si="57"/>
        <v>0</v>
      </c>
      <c r="P574" s="52" t="b">
        <f t="shared" si="58"/>
        <v>0</v>
      </c>
      <c r="Q574" s="52" t="b">
        <f t="shared" si="59"/>
        <v>0</v>
      </c>
      <c r="R574" s="52" t="b">
        <f t="shared" si="60"/>
        <v>0</v>
      </c>
      <c r="S574" s="52" t="b">
        <f t="shared" si="61"/>
        <v>0</v>
      </c>
      <c r="T574" s="52" t="b">
        <f t="shared" si="62"/>
        <v>0</v>
      </c>
    </row>
    <row r="575" spans="3:20" ht="22.5" x14ac:dyDescent="0.2">
      <c r="C575" s="36" t="s">
        <v>52</v>
      </c>
      <c r="D575" s="49" t="s">
        <v>831</v>
      </c>
      <c r="E575" s="50" t="s">
        <v>832</v>
      </c>
      <c r="F575" s="50"/>
      <c r="G575" s="50"/>
      <c r="H575" s="50"/>
      <c r="I575" s="50"/>
      <c r="J575" s="50"/>
      <c r="K575" s="50"/>
      <c r="L575" s="51"/>
      <c r="M575" s="51"/>
      <c r="N575" s="52" t="str">
        <f t="shared" si="56"/>
        <v>44.1.1.</v>
      </c>
      <c r="O575" s="52" t="str">
        <f t="shared" si="57"/>
        <v>91.1.1</v>
      </c>
      <c r="P575" s="52" t="str">
        <f t="shared" si="58"/>
        <v>Прочие доходы, необлагаемые НДС</v>
      </c>
      <c r="Q575" s="52">
        <f t="shared" si="59"/>
        <v>77</v>
      </c>
      <c r="R575" s="52" t="str">
        <f t="shared" si="60"/>
        <v>Проценты к получению по займам выданным</v>
      </c>
      <c r="S575" s="52" t="str">
        <f t="shared" si="61"/>
        <v>Виды прочих расходов</v>
      </c>
      <c r="T575" s="52" t="str">
        <f t="shared" si="62"/>
        <v>Проценты к получению по займам выданным</v>
      </c>
    </row>
    <row r="576" spans="3:20" ht="22.5" x14ac:dyDescent="0.2">
      <c r="C576" s="36" t="s">
        <v>1087</v>
      </c>
      <c r="D576" s="62" t="s">
        <v>833</v>
      </c>
      <c r="E576" s="62"/>
      <c r="F576" s="62" t="s">
        <v>834</v>
      </c>
      <c r="G576" s="62">
        <v>77</v>
      </c>
      <c r="H576" s="62" t="s">
        <v>832</v>
      </c>
      <c r="I576" s="62" t="s">
        <v>134</v>
      </c>
      <c r="J576" s="62"/>
      <c r="K576" s="62"/>
      <c r="L576" s="72"/>
      <c r="M576" s="73"/>
      <c r="N576" s="52" t="b">
        <f t="shared" si="56"/>
        <v>0</v>
      </c>
      <c r="O576" s="52" t="b">
        <f t="shared" si="57"/>
        <v>0</v>
      </c>
      <c r="P576" s="52" t="b">
        <f t="shared" si="58"/>
        <v>0</v>
      </c>
      <c r="Q576" s="52" t="b">
        <f t="shared" si="59"/>
        <v>0</v>
      </c>
      <c r="R576" s="52" t="b">
        <f t="shared" si="60"/>
        <v>0</v>
      </c>
      <c r="S576" s="52" t="b">
        <f t="shared" si="61"/>
        <v>0</v>
      </c>
      <c r="T576" s="52" t="b">
        <f t="shared" si="62"/>
        <v>0</v>
      </c>
    </row>
    <row r="577" spans="3:20" ht="33.75" x14ac:dyDescent="0.2">
      <c r="C577" s="36" t="s">
        <v>52</v>
      </c>
      <c r="D577" s="49" t="s">
        <v>835</v>
      </c>
      <c r="E577" s="50" t="s">
        <v>836</v>
      </c>
      <c r="F577" s="50"/>
      <c r="G577" s="50"/>
      <c r="H577" s="50"/>
      <c r="I577" s="50"/>
      <c r="J577" s="50"/>
      <c r="K577" s="50"/>
      <c r="L577" s="51"/>
      <c r="M577" s="51"/>
      <c r="N577" s="52" t="str">
        <f t="shared" si="56"/>
        <v>44.1.2.</v>
      </c>
      <c r="O577" s="52" t="str">
        <f t="shared" si="57"/>
        <v>91.1.1</v>
      </c>
      <c r="P577" s="52" t="str">
        <f t="shared" si="58"/>
        <v>Прочие доходы, необлагаемые НДС</v>
      </c>
      <c r="Q577" s="52">
        <f t="shared" si="59"/>
        <v>9</v>
      </c>
      <c r="R577" s="52" t="str">
        <f t="shared" si="60"/>
        <v>Проценты, причитающиеся к получению (за хранение ден.средств)</v>
      </c>
      <c r="S577" s="52" t="str">
        <f t="shared" si="61"/>
        <v>Виды прочих расходов</v>
      </c>
      <c r="T577" s="52" t="str">
        <f t="shared" si="62"/>
        <v>Проценты, причитающиеся к получению (за хранение ден.средств)</v>
      </c>
    </row>
    <row r="578" spans="3:20" ht="33.75" x14ac:dyDescent="0.2">
      <c r="C578" s="36" t="s">
        <v>1087</v>
      </c>
      <c r="D578" s="62" t="s">
        <v>833</v>
      </c>
      <c r="E578" s="62"/>
      <c r="F578" s="62" t="s">
        <v>834</v>
      </c>
      <c r="G578" s="62">
        <v>9</v>
      </c>
      <c r="H578" s="62" t="s">
        <v>836</v>
      </c>
      <c r="I578" s="62" t="s">
        <v>134</v>
      </c>
      <c r="J578" s="62"/>
      <c r="K578" s="62"/>
      <c r="L578" s="72"/>
      <c r="M578" s="73"/>
      <c r="N578" s="52" t="b">
        <f t="shared" si="56"/>
        <v>0</v>
      </c>
      <c r="O578" s="52" t="b">
        <f t="shared" si="57"/>
        <v>0</v>
      </c>
      <c r="P578" s="52" t="b">
        <f t="shared" si="58"/>
        <v>0</v>
      </c>
      <c r="Q578" s="52" t="b">
        <f t="shared" si="59"/>
        <v>0</v>
      </c>
      <c r="R578" s="52" t="b">
        <f t="shared" si="60"/>
        <v>0</v>
      </c>
      <c r="S578" s="52" t="b">
        <f t="shared" si="61"/>
        <v>0</v>
      </c>
      <c r="T578" s="52" t="b">
        <f t="shared" si="62"/>
        <v>0</v>
      </c>
    </row>
    <row r="579" spans="3:20" x14ac:dyDescent="0.2">
      <c r="C579" s="36" t="s">
        <v>52</v>
      </c>
      <c r="D579" s="49" t="s">
        <v>837</v>
      </c>
      <c r="E579" s="50" t="s">
        <v>838</v>
      </c>
      <c r="F579" s="50"/>
      <c r="G579" s="50"/>
      <c r="H579" s="50"/>
      <c r="I579" s="50"/>
      <c r="J579" s="50"/>
      <c r="K579" s="50"/>
      <c r="L579" s="51"/>
      <c r="M579" s="51"/>
      <c r="N579" s="52" t="str">
        <f t="shared" ref="N579:N642" si="63">IF(AND($C579="Упр", $C580="1s"), D579)</f>
        <v>44.1.3.</v>
      </c>
      <c r="O579" s="52" t="str">
        <f t="shared" ref="O579:O642" si="64">IF(AND($C579="Упр", $C580="1s"), D580)</f>
        <v>91.4.1</v>
      </c>
      <c r="P579" s="52" t="str">
        <f t="shared" ref="P579:P642" si="65">IF(AND($C579="Упр", $C580="1s"), F580)</f>
        <v>Прочие расходы</v>
      </c>
      <c r="Q579" s="52">
        <f t="shared" ref="Q579:Q642" si="66">IF(AND($C579="Упр", $C580="1s"), G580)</f>
        <v>57</v>
      </c>
      <c r="R579" s="52" t="str">
        <f t="shared" ref="R579:R642" si="67">IF(AND($C579="Упр", $C580="1s"), H580)</f>
        <v>Услуги депозитариев</v>
      </c>
      <c r="S579" s="52" t="str">
        <f t="shared" ref="S579:S642" si="68">IF(AND($C579="Упр", $C580="1s"), I580)</f>
        <v>Виды прочих расходов</v>
      </c>
      <c r="T579" s="52" t="str">
        <f t="shared" ref="T579:T642" si="69">IF(AND($C579="Упр", $C580="1s"), E579)</f>
        <v>Услуги депозитариев</v>
      </c>
    </row>
    <row r="580" spans="3:20" ht="22.5" x14ac:dyDescent="0.2">
      <c r="C580" s="36" t="s">
        <v>1087</v>
      </c>
      <c r="D580" s="62" t="s">
        <v>778</v>
      </c>
      <c r="E580" s="62"/>
      <c r="F580" s="62" t="s">
        <v>779</v>
      </c>
      <c r="G580" s="62">
        <v>57</v>
      </c>
      <c r="H580" s="62" t="s">
        <v>838</v>
      </c>
      <c r="I580" s="62" t="s">
        <v>134</v>
      </c>
      <c r="J580" s="84" t="s">
        <v>839</v>
      </c>
      <c r="K580" s="62"/>
      <c r="L580" s="72"/>
      <c r="M580" s="73"/>
      <c r="N580" s="52" t="b">
        <f t="shared" si="63"/>
        <v>0</v>
      </c>
      <c r="O580" s="52" t="b">
        <f t="shared" si="64"/>
        <v>0</v>
      </c>
      <c r="P580" s="52" t="b">
        <f t="shared" si="65"/>
        <v>0</v>
      </c>
      <c r="Q580" s="52" t="b">
        <f t="shared" si="66"/>
        <v>0</v>
      </c>
      <c r="R580" s="52" t="b">
        <f t="shared" si="67"/>
        <v>0</v>
      </c>
      <c r="S580" s="52" t="b">
        <f t="shared" si="68"/>
        <v>0</v>
      </c>
      <c r="T580" s="52" t="b">
        <f t="shared" si="69"/>
        <v>0</v>
      </c>
    </row>
    <row r="581" spans="3:20" ht="22.5" x14ac:dyDescent="0.2">
      <c r="C581" s="36" t="s">
        <v>52</v>
      </c>
      <c r="D581" s="49" t="s">
        <v>81</v>
      </c>
      <c r="E581" s="50" t="s">
        <v>82</v>
      </c>
      <c r="F581" s="50"/>
      <c r="G581" s="50"/>
      <c r="H581" s="50"/>
      <c r="I581" s="50"/>
      <c r="J581" s="50"/>
      <c r="K581" s="50"/>
      <c r="L581" s="51" t="s">
        <v>840</v>
      </c>
      <c r="M581" s="51" t="s">
        <v>830</v>
      </c>
      <c r="N581" s="52" t="str">
        <f t="shared" si="63"/>
        <v>44.2.</v>
      </c>
      <c r="O581" s="52" t="str">
        <f t="shared" si="64"/>
        <v>91.4.1</v>
      </c>
      <c r="P581" s="52" t="str">
        <f t="shared" si="65"/>
        <v>Прочие расходы</v>
      </c>
      <c r="Q581" s="52">
        <f t="shared" si="66"/>
        <v>12</v>
      </c>
      <c r="R581" s="52" t="str">
        <f t="shared" si="67"/>
        <v>Курсовые разницы</v>
      </c>
      <c r="S581" s="52" t="str">
        <f t="shared" si="68"/>
        <v>Виды прочих расходов</v>
      </c>
      <c r="T581" s="52" t="str">
        <f t="shared" si="69"/>
        <v>положительные курсовые разницы</v>
      </c>
    </row>
    <row r="582" spans="3:20" ht="22.5" x14ac:dyDescent="0.2">
      <c r="C582" s="36" t="s">
        <v>1087</v>
      </c>
      <c r="D582" s="62" t="s">
        <v>778</v>
      </c>
      <c r="E582" s="62"/>
      <c r="F582" s="62" t="s">
        <v>779</v>
      </c>
      <c r="G582" s="62">
        <v>12</v>
      </c>
      <c r="H582" s="62" t="s">
        <v>841</v>
      </c>
      <c r="I582" s="62" t="s">
        <v>134</v>
      </c>
      <c r="J582" s="84" t="s">
        <v>839</v>
      </c>
      <c r="K582" s="62"/>
      <c r="L582" s="72"/>
      <c r="M582" s="73"/>
      <c r="N582" s="52" t="b">
        <f t="shared" si="63"/>
        <v>0</v>
      </c>
      <c r="O582" s="52" t="b">
        <f t="shared" si="64"/>
        <v>0</v>
      </c>
      <c r="P582" s="52" t="b">
        <f t="shared" si="65"/>
        <v>0</v>
      </c>
      <c r="Q582" s="52" t="b">
        <f t="shared" si="66"/>
        <v>0</v>
      </c>
      <c r="R582" s="52" t="b">
        <f t="shared" si="67"/>
        <v>0</v>
      </c>
      <c r="S582" s="52" t="b">
        <f t="shared" si="68"/>
        <v>0</v>
      </c>
      <c r="T582" s="52" t="b">
        <f t="shared" si="69"/>
        <v>0</v>
      </c>
    </row>
    <row r="583" spans="3:20" ht="22.5" x14ac:dyDescent="0.2">
      <c r="C583" s="36" t="s">
        <v>52</v>
      </c>
      <c r="D583" s="49" t="s">
        <v>83</v>
      </c>
      <c r="E583" s="50" t="s">
        <v>84</v>
      </c>
      <c r="F583" s="50"/>
      <c r="G583" s="50"/>
      <c r="H583" s="50"/>
      <c r="I583" s="50"/>
      <c r="J583" s="50"/>
      <c r="K583" s="50"/>
      <c r="L583" s="51"/>
      <c r="M583" s="51" t="s">
        <v>11</v>
      </c>
      <c r="N583" s="52" t="b">
        <f t="shared" si="63"/>
        <v>0</v>
      </c>
      <c r="O583" s="52" t="b">
        <f t="shared" si="64"/>
        <v>0</v>
      </c>
      <c r="P583" s="52" t="b">
        <f t="shared" si="65"/>
        <v>0</v>
      </c>
      <c r="Q583" s="52" t="b">
        <f t="shared" si="66"/>
        <v>0</v>
      </c>
      <c r="R583" s="52" t="b">
        <f t="shared" si="67"/>
        <v>0</v>
      </c>
      <c r="S583" s="52" t="b">
        <f t="shared" si="68"/>
        <v>0</v>
      </c>
      <c r="T583" s="52" t="b">
        <f t="shared" si="69"/>
        <v>0</v>
      </c>
    </row>
    <row r="584" spans="3:20" ht="22.5" x14ac:dyDescent="0.2">
      <c r="C584" s="36" t="s">
        <v>52</v>
      </c>
      <c r="D584" s="46" t="s">
        <v>85</v>
      </c>
      <c r="E584" s="47" t="s">
        <v>86</v>
      </c>
      <c r="F584" s="47"/>
      <c r="G584" s="47"/>
      <c r="H584" s="47"/>
      <c r="I584" s="47"/>
      <c r="J584" s="47"/>
      <c r="K584" s="47"/>
      <c r="L584" s="48"/>
      <c r="M584" s="48" t="s">
        <v>87</v>
      </c>
      <c r="N584" s="52" t="str">
        <f t="shared" si="63"/>
        <v>44.4.</v>
      </c>
      <c r="O584" s="52" t="str">
        <f t="shared" si="64"/>
        <v>90.7.1</v>
      </c>
      <c r="P584" s="52" t="str">
        <f t="shared" si="65"/>
        <v>Прочие доходы по текущей деятельности, необлагаемые НДС</v>
      </c>
      <c r="Q584" s="52">
        <f t="shared" si="66"/>
        <v>83</v>
      </c>
      <c r="R584" s="52" t="str">
        <f t="shared" si="67"/>
        <v>Доходы связанные с покупкой валюты</v>
      </c>
      <c r="S584" s="52" t="str">
        <f t="shared" si="68"/>
        <v>Виды прочих расходов</v>
      </c>
      <c r="T584" s="52" t="str">
        <f t="shared" si="69"/>
        <v xml:space="preserve">результат от покупки/продажи валюты </v>
      </c>
    </row>
    <row r="585" spans="3:20" ht="22.5" x14ac:dyDescent="0.2">
      <c r="C585" s="36" t="s">
        <v>1087</v>
      </c>
      <c r="D585" s="62" t="s">
        <v>842</v>
      </c>
      <c r="E585" s="62"/>
      <c r="F585" s="62" t="s">
        <v>774</v>
      </c>
      <c r="G585" s="62">
        <v>83</v>
      </c>
      <c r="H585" s="62" t="s">
        <v>843</v>
      </c>
      <c r="I585" s="62" t="s">
        <v>134</v>
      </c>
      <c r="J585" s="84" t="s">
        <v>839</v>
      </c>
      <c r="K585" s="62"/>
      <c r="L585" s="72"/>
      <c r="M585" s="73"/>
      <c r="N585" s="52" t="b">
        <f t="shared" si="63"/>
        <v>0</v>
      </c>
      <c r="O585" s="52" t="b">
        <f t="shared" si="64"/>
        <v>0</v>
      </c>
      <c r="P585" s="52" t="b">
        <f t="shared" si="65"/>
        <v>0</v>
      </c>
      <c r="Q585" s="52" t="b">
        <f t="shared" si="66"/>
        <v>0</v>
      </c>
      <c r="R585" s="52" t="b">
        <f t="shared" si="67"/>
        <v>0</v>
      </c>
      <c r="S585" s="52" t="b">
        <f t="shared" si="68"/>
        <v>0</v>
      </c>
      <c r="T585" s="52" t="b">
        <f t="shared" si="69"/>
        <v>0</v>
      </c>
    </row>
    <row r="586" spans="3:20" ht="22.5" x14ac:dyDescent="0.2">
      <c r="C586" s="36" t="s">
        <v>52</v>
      </c>
      <c r="D586" s="49" t="s">
        <v>88</v>
      </c>
      <c r="E586" s="50" t="s">
        <v>76</v>
      </c>
      <c r="F586" s="50"/>
      <c r="G586" s="50"/>
      <c r="H586" s="50"/>
      <c r="I586" s="50"/>
      <c r="J586" s="50"/>
      <c r="K586" s="50"/>
      <c r="L586" s="51"/>
      <c r="M586" s="51" t="s">
        <v>830</v>
      </c>
      <c r="N586" s="52" t="b">
        <f t="shared" si="63"/>
        <v>0</v>
      </c>
      <c r="O586" s="52" t="b">
        <f t="shared" si="64"/>
        <v>0</v>
      </c>
      <c r="P586" s="52" t="b">
        <f t="shared" si="65"/>
        <v>0</v>
      </c>
      <c r="Q586" s="52" t="b">
        <f t="shared" si="66"/>
        <v>0</v>
      </c>
      <c r="R586" s="52" t="b">
        <f t="shared" si="67"/>
        <v>0</v>
      </c>
      <c r="S586" s="52" t="b">
        <f t="shared" si="68"/>
        <v>0</v>
      </c>
      <c r="T586" s="52" t="b">
        <f t="shared" si="69"/>
        <v>0</v>
      </c>
    </row>
    <row r="587" spans="3:20" ht="33.75" x14ac:dyDescent="0.2">
      <c r="C587" s="36" t="s">
        <v>52</v>
      </c>
      <c r="D587" s="49" t="s">
        <v>844</v>
      </c>
      <c r="E587" s="50" t="s">
        <v>845</v>
      </c>
      <c r="F587" s="50"/>
      <c r="G587" s="50"/>
      <c r="H587" s="50"/>
      <c r="I587" s="50"/>
      <c r="J587" s="50"/>
      <c r="K587" s="50"/>
      <c r="L587" s="51"/>
      <c r="M587" s="51"/>
      <c r="N587" s="52" t="str">
        <f t="shared" si="63"/>
        <v>44.5.1.</v>
      </c>
      <c r="O587" s="52" t="str">
        <f t="shared" si="64"/>
        <v>90.7.1</v>
      </c>
      <c r="P587" s="52" t="str">
        <f t="shared" si="65"/>
        <v>Прочие доходы по текущей деятельности, необлагаемые НДС</v>
      </c>
      <c r="Q587" s="52">
        <f t="shared" si="66"/>
        <v>136</v>
      </c>
      <c r="R587" s="52" t="str">
        <f t="shared" si="67"/>
        <v>Использ. льготы по ФСЗН, в части выплат в пользу участн. студотрядов</v>
      </c>
      <c r="S587" s="52" t="str">
        <f t="shared" si="68"/>
        <v>Виды прочих расходов</v>
      </c>
      <c r="T587" s="52" t="str">
        <f t="shared" si="69"/>
        <v>Использ. льготы по ФСЗН, в части выплат в пользу участн. студотрядов</v>
      </c>
    </row>
    <row r="588" spans="3:20" ht="33.75" x14ac:dyDescent="0.2">
      <c r="C588" s="36" t="s">
        <v>1087</v>
      </c>
      <c r="D588" s="62" t="s">
        <v>842</v>
      </c>
      <c r="E588" s="62"/>
      <c r="F588" s="62" t="s">
        <v>774</v>
      </c>
      <c r="G588" s="62">
        <v>136</v>
      </c>
      <c r="H588" s="62" t="s">
        <v>845</v>
      </c>
      <c r="I588" s="62" t="s">
        <v>134</v>
      </c>
      <c r="J588" s="84" t="s">
        <v>839</v>
      </c>
      <c r="K588" s="62"/>
      <c r="L588" s="72"/>
      <c r="M588" s="73"/>
      <c r="N588" s="52" t="b">
        <f t="shared" si="63"/>
        <v>0</v>
      </c>
      <c r="O588" s="52" t="b">
        <f t="shared" si="64"/>
        <v>0</v>
      </c>
      <c r="P588" s="52" t="b">
        <f t="shared" si="65"/>
        <v>0</v>
      </c>
      <c r="Q588" s="52" t="b">
        <f t="shared" si="66"/>
        <v>0</v>
      </c>
      <c r="R588" s="52" t="b">
        <f t="shared" si="67"/>
        <v>0</v>
      </c>
      <c r="S588" s="52" t="b">
        <f t="shared" si="68"/>
        <v>0</v>
      </c>
      <c r="T588" s="52" t="b">
        <f t="shared" si="69"/>
        <v>0</v>
      </c>
    </row>
    <row r="589" spans="3:20" ht="22.5" x14ac:dyDescent="0.2">
      <c r="C589" s="36" t="s">
        <v>52</v>
      </c>
      <c r="D589" s="49" t="s">
        <v>846</v>
      </c>
      <c r="E589" s="50" t="s">
        <v>847</v>
      </c>
      <c r="F589" s="50"/>
      <c r="G589" s="50"/>
      <c r="H589" s="50"/>
      <c r="I589" s="50"/>
      <c r="J589" s="50"/>
      <c r="K589" s="50"/>
      <c r="L589" s="51"/>
      <c r="M589" s="51"/>
      <c r="N589" s="52" t="str">
        <f t="shared" si="63"/>
        <v>44.5.2.</v>
      </c>
      <c r="O589" s="52" t="str">
        <f t="shared" si="64"/>
        <v>90.7.2</v>
      </c>
      <c r="P589" s="52" t="str">
        <f t="shared" si="65"/>
        <v>Прочие доходы по текущей деятельности, облагаемые НДС</v>
      </c>
      <c r="Q589" s="52">
        <f t="shared" si="66"/>
        <v>139</v>
      </c>
      <c r="R589" s="52" t="str">
        <f t="shared" si="67"/>
        <v>Подарочные сертификаты частично неотоваренные в срок</v>
      </c>
      <c r="S589" s="52" t="str">
        <f t="shared" si="68"/>
        <v>Виды прочих расходов</v>
      </c>
      <c r="T589" s="52" t="str">
        <f t="shared" si="69"/>
        <v>Подарочные сертификаты частично неотоваренные в срок</v>
      </c>
    </row>
    <row r="590" spans="3:20" ht="22.5" x14ac:dyDescent="0.2">
      <c r="C590" s="36" t="s">
        <v>1087</v>
      </c>
      <c r="D590" s="62" t="s">
        <v>757</v>
      </c>
      <c r="E590" s="62"/>
      <c r="F590" s="62" t="s">
        <v>758</v>
      </c>
      <c r="G590" s="62">
        <v>139</v>
      </c>
      <c r="H590" s="62" t="s">
        <v>847</v>
      </c>
      <c r="I590" s="62" t="s">
        <v>134</v>
      </c>
      <c r="J590" s="62" t="s">
        <v>135</v>
      </c>
      <c r="K590" s="62"/>
      <c r="L590" s="72"/>
      <c r="M590" s="73"/>
      <c r="N590" s="52" t="b">
        <f t="shared" si="63"/>
        <v>0</v>
      </c>
      <c r="O590" s="52" t="b">
        <f t="shared" si="64"/>
        <v>0</v>
      </c>
      <c r="P590" s="52" t="b">
        <f t="shared" si="65"/>
        <v>0</v>
      </c>
      <c r="Q590" s="52" t="b">
        <f t="shared" si="66"/>
        <v>0</v>
      </c>
      <c r="R590" s="52" t="b">
        <f t="shared" si="67"/>
        <v>0</v>
      </c>
      <c r="S590" s="52" t="b">
        <f t="shared" si="68"/>
        <v>0</v>
      </c>
      <c r="T590" s="52" t="b">
        <f t="shared" si="69"/>
        <v>0</v>
      </c>
    </row>
    <row r="591" spans="3:20" ht="22.5" hidden="1" x14ac:dyDescent="0.2">
      <c r="C591" s="35"/>
      <c r="D591" s="35" t="s">
        <v>98</v>
      </c>
      <c r="E591" s="35" t="s">
        <v>99</v>
      </c>
      <c r="F591" s="35" t="s">
        <v>100</v>
      </c>
      <c r="G591" s="35" t="s">
        <v>101</v>
      </c>
      <c r="H591" s="35" t="s">
        <v>102</v>
      </c>
      <c r="I591" s="35" t="s">
        <v>103</v>
      </c>
      <c r="J591" s="35" t="s">
        <v>104</v>
      </c>
      <c r="K591" s="35" t="s">
        <v>105</v>
      </c>
      <c r="L591" s="35" t="s">
        <v>106</v>
      </c>
      <c r="M591" s="35" t="s">
        <v>107</v>
      </c>
      <c r="N591" s="52" t="b">
        <f t="shared" si="63"/>
        <v>0</v>
      </c>
      <c r="O591" s="52" t="b">
        <f t="shared" si="64"/>
        <v>0</v>
      </c>
      <c r="P591" s="52" t="b">
        <f t="shared" si="65"/>
        <v>0</v>
      </c>
      <c r="Q591" s="52" t="b">
        <f t="shared" si="66"/>
        <v>0</v>
      </c>
      <c r="R591" s="52" t="b">
        <f t="shared" si="67"/>
        <v>0</v>
      </c>
      <c r="S591" s="52" t="b">
        <f t="shared" si="68"/>
        <v>0</v>
      </c>
      <c r="T591" s="52" t="b">
        <f t="shared" si="69"/>
        <v>0</v>
      </c>
    </row>
    <row r="592" spans="3:20" ht="22.5" x14ac:dyDescent="0.2">
      <c r="C592" s="36" t="s">
        <v>52</v>
      </c>
      <c r="D592" s="37">
        <v>45</v>
      </c>
      <c r="E592" s="38" t="s">
        <v>848</v>
      </c>
      <c r="F592" s="38"/>
      <c r="G592" s="38"/>
      <c r="H592" s="38"/>
      <c r="I592" s="38"/>
      <c r="J592" s="38"/>
      <c r="K592" s="38"/>
      <c r="L592" s="39"/>
      <c r="M592" s="39" t="s">
        <v>849</v>
      </c>
      <c r="N592" s="52" t="b">
        <f t="shared" si="63"/>
        <v>0</v>
      </c>
      <c r="O592" s="52" t="b">
        <f t="shared" si="64"/>
        <v>0</v>
      </c>
      <c r="P592" s="52" t="b">
        <f t="shared" si="65"/>
        <v>0</v>
      </c>
      <c r="Q592" s="52" t="b">
        <f t="shared" si="66"/>
        <v>0</v>
      </c>
      <c r="R592" s="52" t="b">
        <f t="shared" si="67"/>
        <v>0</v>
      </c>
      <c r="S592" s="52" t="b">
        <f t="shared" si="68"/>
        <v>0</v>
      </c>
      <c r="T592" s="52" t="b">
        <f t="shared" si="69"/>
        <v>0</v>
      </c>
    </row>
    <row r="593" spans="3:20" ht="22.5" x14ac:dyDescent="0.2">
      <c r="C593" s="36" t="s">
        <v>52</v>
      </c>
      <c r="D593" s="49" t="s">
        <v>850</v>
      </c>
      <c r="E593" s="50" t="s">
        <v>851</v>
      </c>
      <c r="F593" s="50"/>
      <c r="G593" s="50"/>
      <c r="H593" s="50"/>
      <c r="I593" s="50"/>
      <c r="J593" s="50"/>
      <c r="K593" s="50"/>
      <c r="L593" s="51"/>
      <c r="M593" s="51" t="s">
        <v>11</v>
      </c>
      <c r="N593" s="52" t="b">
        <f t="shared" si="63"/>
        <v>0</v>
      </c>
      <c r="O593" s="52" t="b">
        <f t="shared" si="64"/>
        <v>0</v>
      </c>
      <c r="P593" s="52" t="b">
        <f t="shared" si="65"/>
        <v>0</v>
      </c>
      <c r="Q593" s="52" t="b">
        <f t="shared" si="66"/>
        <v>0</v>
      </c>
      <c r="R593" s="52" t="b">
        <f t="shared" si="67"/>
        <v>0</v>
      </c>
      <c r="S593" s="52" t="b">
        <f t="shared" si="68"/>
        <v>0</v>
      </c>
      <c r="T593" s="52" t="b">
        <f t="shared" si="69"/>
        <v>0</v>
      </c>
    </row>
    <row r="594" spans="3:20" ht="22.5" x14ac:dyDescent="0.2">
      <c r="C594" s="36" t="s">
        <v>52</v>
      </c>
      <c r="D594" s="49" t="s">
        <v>852</v>
      </c>
      <c r="E594" s="50" t="s">
        <v>853</v>
      </c>
      <c r="F594" s="50"/>
      <c r="G594" s="50"/>
      <c r="H594" s="50"/>
      <c r="I594" s="50"/>
      <c r="J594" s="50"/>
      <c r="K594" s="50"/>
      <c r="L594" s="51"/>
      <c r="M594" s="51" t="s">
        <v>11</v>
      </c>
      <c r="N594" s="52" t="b">
        <f t="shared" si="63"/>
        <v>0</v>
      </c>
      <c r="O594" s="52" t="b">
        <f t="shared" si="64"/>
        <v>0</v>
      </c>
      <c r="P594" s="52" t="b">
        <f t="shared" si="65"/>
        <v>0</v>
      </c>
      <c r="Q594" s="52" t="b">
        <f t="shared" si="66"/>
        <v>0</v>
      </c>
      <c r="R594" s="52" t="b">
        <f t="shared" si="67"/>
        <v>0</v>
      </c>
      <c r="S594" s="52" t="b">
        <f t="shared" si="68"/>
        <v>0</v>
      </c>
      <c r="T594" s="52" t="b">
        <f t="shared" si="69"/>
        <v>0</v>
      </c>
    </row>
    <row r="595" spans="3:20" ht="22.5" x14ac:dyDescent="0.2">
      <c r="C595" s="36" t="s">
        <v>52</v>
      </c>
      <c r="D595" s="49" t="s">
        <v>854</v>
      </c>
      <c r="E595" s="50" t="s">
        <v>855</v>
      </c>
      <c r="F595" s="50"/>
      <c r="G595" s="50"/>
      <c r="H595" s="50"/>
      <c r="I595" s="50"/>
      <c r="J595" s="50"/>
      <c r="K595" s="50"/>
      <c r="L595" s="51" t="s">
        <v>856</v>
      </c>
      <c r="M595" s="51" t="s">
        <v>857</v>
      </c>
      <c r="N595" s="52" t="b">
        <f t="shared" si="63"/>
        <v>0</v>
      </c>
      <c r="O595" s="52" t="b">
        <f t="shared" si="64"/>
        <v>0</v>
      </c>
      <c r="P595" s="52" t="b">
        <f t="shared" si="65"/>
        <v>0</v>
      </c>
      <c r="Q595" s="52" t="b">
        <f t="shared" si="66"/>
        <v>0</v>
      </c>
      <c r="R595" s="52" t="b">
        <f t="shared" si="67"/>
        <v>0</v>
      </c>
      <c r="S595" s="52" t="b">
        <f t="shared" si="68"/>
        <v>0</v>
      </c>
      <c r="T595" s="52" t="b">
        <f t="shared" si="69"/>
        <v>0</v>
      </c>
    </row>
    <row r="596" spans="3:20" x14ac:dyDescent="0.2">
      <c r="C596" s="36" t="s">
        <v>52</v>
      </c>
      <c r="D596" s="49" t="s">
        <v>858</v>
      </c>
      <c r="E596" s="50" t="s">
        <v>859</v>
      </c>
      <c r="F596" s="50"/>
      <c r="G596" s="50"/>
      <c r="H596" s="50"/>
      <c r="I596" s="50"/>
      <c r="J596" s="50"/>
      <c r="K596" s="50"/>
      <c r="L596" s="51"/>
      <c r="M596" s="51"/>
      <c r="N596" s="52" t="str">
        <f t="shared" si="63"/>
        <v>44.3.1.</v>
      </c>
      <c r="O596" s="52" t="str">
        <f t="shared" si="64"/>
        <v>91.4.1</v>
      </c>
      <c r="P596" s="52" t="str">
        <f t="shared" si="65"/>
        <v>Прочие расходы</v>
      </c>
      <c r="Q596" s="52">
        <f t="shared" si="66"/>
        <v>140</v>
      </c>
      <c r="R596" s="52" t="str">
        <f t="shared" si="67"/>
        <v>Курсовые разницы н/о</v>
      </c>
      <c r="S596" s="52" t="str">
        <f t="shared" si="68"/>
        <v>Виды прочих расходов</v>
      </c>
      <c r="T596" s="52" t="str">
        <f t="shared" si="69"/>
        <v>Курсовые разницы н/о</v>
      </c>
    </row>
    <row r="597" spans="3:20" ht="22.5" x14ac:dyDescent="0.2">
      <c r="C597" s="36" t="s">
        <v>1087</v>
      </c>
      <c r="D597" s="97" t="s">
        <v>778</v>
      </c>
      <c r="E597" s="62"/>
      <c r="F597" s="62" t="s">
        <v>779</v>
      </c>
      <c r="G597" s="62">
        <v>140</v>
      </c>
      <c r="H597" s="62" t="s">
        <v>859</v>
      </c>
      <c r="I597" s="62" t="s">
        <v>134</v>
      </c>
      <c r="J597" s="84" t="s">
        <v>839</v>
      </c>
      <c r="K597" s="62"/>
      <c r="L597" s="72"/>
      <c r="M597" s="73"/>
      <c r="N597" s="52" t="b">
        <f t="shared" si="63"/>
        <v>0</v>
      </c>
      <c r="O597" s="52" t="b">
        <f t="shared" si="64"/>
        <v>0</v>
      </c>
      <c r="P597" s="52" t="b">
        <f t="shared" si="65"/>
        <v>0</v>
      </c>
      <c r="Q597" s="52" t="b">
        <f t="shared" si="66"/>
        <v>0</v>
      </c>
      <c r="R597" s="52" t="b">
        <f t="shared" si="67"/>
        <v>0</v>
      </c>
      <c r="S597" s="52" t="b">
        <f t="shared" si="68"/>
        <v>0</v>
      </c>
      <c r="T597" s="52" t="b">
        <f t="shared" si="69"/>
        <v>0</v>
      </c>
    </row>
    <row r="598" spans="3:20" ht="22.5" x14ac:dyDescent="0.2">
      <c r="C598" s="36" t="s">
        <v>52</v>
      </c>
      <c r="D598" s="49" t="s">
        <v>860</v>
      </c>
      <c r="E598" s="50" t="s">
        <v>841</v>
      </c>
      <c r="F598" s="50"/>
      <c r="G598" s="50"/>
      <c r="H598" s="50"/>
      <c r="I598" s="50"/>
      <c r="J598" s="84" t="s">
        <v>839</v>
      </c>
      <c r="K598" s="50"/>
      <c r="L598" s="51"/>
      <c r="M598" s="51"/>
      <c r="N598" s="52" t="str">
        <f t="shared" si="63"/>
        <v>44.3.2.</v>
      </c>
      <c r="O598" s="52" t="str">
        <f t="shared" si="64"/>
        <v>91.4.1</v>
      </c>
      <c r="P598" s="52" t="str">
        <f t="shared" si="65"/>
        <v>Прочие расходы</v>
      </c>
      <c r="Q598" s="52">
        <f t="shared" si="66"/>
        <v>12</v>
      </c>
      <c r="R598" s="52" t="str">
        <f t="shared" si="67"/>
        <v>Курсовые разницы</v>
      </c>
      <c r="S598" s="52" t="str">
        <f t="shared" si="68"/>
        <v>Виды прочих расходов</v>
      </c>
      <c r="T598" s="52" t="str">
        <f t="shared" si="69"/>
        <v>Курсовые разницы</v>
      </c>
    </row>
    <row r="599" spans="3:20" ht="22.5" x14ac:dyDescent="0.2">
      <c r="C599" s="36" t="s">
        <v>1087</v>
      </c>
      <c r="D599" s="97" t="s">
        <v>778</v>
      </c>
      <c r="E599" s="62"/>
      <c r="F599" s="62" t="s">
        <v>779</v>
      </c>
      <c r="G599" s="62">
        <v>12</v>
      </c>
      <c r="H599" s="62" t="s">
        <v>841</v>
      </c>
      <c r="I599" s="62" t="s">
        <v>134</v>
      </c>
      <c r="J599" s="84" t="s">
        <v>839</v>
      </c>
      <c r="K599" s="62"/>
      <c r="L599" s="72"/>
      <c r="M599" s="73"/>
      <c r="N599" s="52" t="b">
        <f t="shared" si="63"/>
        <v>0</v>
      </c>
      <c r="O599" s="52" t="b">
        <f t="shared" si="64"/>
        <v>0</v>
      </c>
      <c r="P599" s="52" t="b">
        <f t="shared" si="65"/>
        <v>0</v>
      </c>
      <c r="Q599" s="52" t="b">
        <f t="shared" si="66"/>
        <v>0</v>
      </c>
      <c r="R599" s="52" t="b">
        <f t="shared" si="67"/>
        <v>0</v>
      </c>
      <c r="S599" s="52" t="b">
        <f t="shared" si="68"/>
        <v>0</v>
      </c>
      <c r="T599" s="52" t="b">
        <f t="shared" si="69"/>
        <v>0</v>
      </c>
    </row>
    <row r="600" spans="3:20" ht="22.5" x14ac:dyDescent="0.2">
      <c r="C600" s="36" t="s">
        <v>52</v>
      </c>
      <c r="D600" s="49" t="s">
        <v>861</v>
      </c>
      <c r="E600" s="50" t="s">
        <v>84</v>
      </c>
      <c r="F600" s="50"/>
      <c r="G600" s="50"/>
      <c r="H600" s="50"/>
      <c r="I600" s="50"/>
      <c r="J600" s="84" t="s">
        <v>839</v>
      </c>
      <c r="K600" s="50"/>
      <c r="L600" s="51"/>
      <c r="M600" s="51" t="s">
        <v>11</v>
      </c>
      <c r="N600" s="52" t="b">
        <f t="shared" si="63"/>
        <v>0</v>
      </c>
      <c r="O600" s="52" t="b">
        <f t="shared" si="64"/>
        <v>0</v>
      </c>
      <c r="P600" s="52" t="b">
        <f t="shared" si="65"/>
        <v>0</v>
      </c>
      <c r="Q600" s="52" t="b">
        <f t="shared" si="66"/>
        <v>0</v>
      </c>
      <c r="R600" s="52" t="b">
        <f t="shared" si="67"/>
        <v>0</v>
      </c>
      <c r="S600" s="52" t="b">
        <f t="shared" si="68"/>
        <v>0</v>
      </c>
      <c r="T600" s="52" t="b">
        <f t="shared" si="69"/>
        <v>0</v>
      </c>
    </row>
    <row r="601" spans="3:20" ht="22.5" x14ac:dyDescent="0.2">
      <c r="C601" s="36" t="s">
        <v>52</v>
      </c>
      <c r="D601" s="46" t="s">
        <v>862</v>
      </c>
      <c r="E601" s="47" t="s">
        <v>86</v>
      </c>
      <c r="F601" s="47"/>
      <c r="G601" s="47"/>
      <c r="H601" s="47"/>
      <c r="I601" s="47"/>
      <c r="J601" s="47"/>
      <c r="K601" s="47"/>
      <c r="L601" s="48"/>
      <c r="M601" s="51" t="s">
        <v>857</v>
      </c>
      <c r="N601" s="52" t="str">
        <f t="shared" si="63"/>
        <v>45.5.</v>
      </c>
      <c r="O601" s="52" t="str">
        <f t="shared" si="64"/>
        <v>90.10.1 / 90.10.11</v>
      </c>
      <c r="P601" s="52" t="str">
        <f t="shared" si="65"/>
        <v>Прочие расходы по текущей деятельности / -||- (по местам хранения)</v>
      </c>
      <c r="Q601" s="52">
        <f t="shared" si="66"/>
        <v>31</v>
      </c>
      <c r="R601" s="52" t="str">
        <f t="shared" si="67"/>
        <v>Расходы связанные с покупкой валюты</v>
      </c>
      <c r="S601" s="52" t="str">
        <f t="shared" si="68"/>
        <v>Виды прочих расходов</v>
      </c>
      <c r="T601" s="52" t="str">
        <f t="shared" si="69"/>
        <v xml:space="preserve">результат от покупки/продажи валюты </v>
      </c>
    </row>
    <row r="602" spans="3:20" ht="33.75" x14ac:dyDescent="0.2">
      <c r="C602" s="36" t="s">
        <v>1087</v>
      </c>
      <c r="D602" s="62" t="s">
        <v>132</v>
      </c>
      <c r="E602" s="62"/>
      <c r="F602" s="62" t="s">
        <v>133</v>
      </c>
      <c r="G602" s="62">
        <v>31</v>
      </c>
      <c r="H602" s="62" t="s">
        <v>863</v>
      </c>
      <c r="I602" s="62" t="s">
        <v>134</v>
      </c>
      <c r="J602" s="62" t="s">
        <v>135</v>
      </c>
      <c r="K602" s="62"/>
      <c r="L602" s="72"/>
      <c r="M602" s="73"/>
      <c r="N602" s="52" t="b">
        <f t="shared" si="63"/>
        <v>0</v>
      </c>
      <c r="O602" s="52" t="b">
        <f t="shared" si="64"/>
        <v>0</v>
      </c>
      <c r="P602" s="52" t="b">
        <f t="shared" si="65"/>
        <v>0</v>
      </c>
      <c r="Q602" s="52" t="b">
        <f t="shared" si="66"/>
        <v>0</v>
      </c>
      <c r="R602" s="52" t="b">
        <f t="shared" si="67"/>
        <v>0</v>
      </c>
      <c r="S602" s="52" t="b">
        <f t="shared" si="68"/>
        <v>0</v>
      </c>
      <c r="T602" s="52" t="b">
        <f t="shared" si="69"/>
        <v>0</v>
      </c>
    </row>
    <row r="603" spans="3:20" x14ac:dyDescent="0.2">
      <c r="C603" s="36" t="s">
        <v>52</v>
      </c>
      <c r="D603" s="49" t="s">
        <v>864</v>
      </c>
      <c r="E603" s="50" t="s">
        <v>95</v>
      </c>
      <c r="F603" s="50"/>
      <c r="G603" s="50"/>
      <c r="H603" s="50"/>
      <c r="I603" s="50"/>
      <c r="J603" s="50"/>
      <c r="K603" s="50"/>
      <c r="L603" s="51"/>
      <c r="M603" s="51" t="s">
        <v>11</v>
      </c>
      <c r="N603" s="52" t="b">
        <f t="shared" si="63"/>
        <v>0</v>
      </c>
      <c r="O603" s="52" t="b">
        <f t="shared" si="64"/>
        <v>0</v>
      </c>
      <c r="P603" s="52" t="b">
        <f t="shared" si="65"/>
        <v>0</v>
      </c>
      <c r="Q603" s="52" t="b">
        <f t="shared" si="66"/>
        <v>0</v>
      </c>
      <c r="R603" s="52" t="b">
        <f t="shared" si="67"/>
        <v>0</v>
      </c>
      <c r="S603" s="52" t="b">
        <f t="shared" si="68"/>
        <v>0</v>
      </c>
      <c r="T603" s="52" t="b">
        <f t="shared" si="69"/>
        <v>0</v>
      </c>
    </row>
    <row r="604" spans="3:20" ht="22.5" x14ac:dyDescent="0.2">
      <c r="C604" s="36" t="s">
        <v>52</v>
      </c>
      <c r="D604" s="37">
        <v>46</v>
      </c>
      <c r="E604" s="38" t="s">
        <v>865</v>
      </c>
      <c r="F604" s="38"/>
      <c r="G604" s="38"/>
      <c r="H604" s="38"/>
      <c r="I604" s="38"/>
      <c r="J604" s="38"/>
      <c r="K604" s="38"/>
      <c r="L604" s="39"/>
      <c r="M604" s="39" t="s">
        <v>866</v>
      </c>
      <c r="N604" s="52" t="b">
        <f t="shared" si="63"/>
        <v>0</v>
      </c>
      <c r="O604" s="52" t="b">
        <f t="shared" si="64"/>
        <v>0</v>
      </c>
      <c r="P604" s="52" t="b">
        <f t="shared" si="65"/>
        <v>0</v>
      </c>
      <c r="Q604" s="52" t="b">
        <f t="shared" si="66"/>
        <v>0</v>
      </c>
      <c r="R604" s="52" t="b">
        <f t="shared" si="67"/>
        <v>0</v>
      </c>
      <c r="S604" s="52" t="b">
        <f t="shared" si="68"/>
        <v>0</v>
      </c>
      <c r="T604" s="52" t="b">
        <f t="shared" si="69"/>
        <v>0</v>
      </c>
    </row>
    <row r="605" spans="3:20" ht="22.5" x14ac:dyDescent="0.2">
      <c r="C605" s="56" t="s">
        <v>52</v>
      </c>
      <c r="D605" s="37">
        <v>47</v>
      </c>
      <c r="E605" s="38" t="s">
        <v>89</v>
      </c>
      <c r="F605" s="38"/>
      <c r="G605" s="38"/>
      <c r="H605" s="38"/>
      <c r="I605" s="38"/>
      <c r="J605" s="38"/>
      <c r="K605" s="38"/>
      <c r="L605" s="39"/>
      <c r="M605" s="39"/>
      <c r="N605" s="52" t="b">
        <f t="shared" si="63"/>
        <v>0</v>
      </c>
      <c r="O605" s="52" t="b">
        <f t="shared" si="64"/>
        <v>0</v>
      </c>
      <c r="P605" s="52" t="b">
        <f t="shared" si="65"/>
        <v>0</v>
      </c>
      <c r="Q605" s="52" t="b">
        <f t="shared" si="66"/>
        <v>0</v>
      </c>
      <c r="R605" s="52" t="b">
        <f t="shared" si="67"/>
        <v>0</v>
      </c>
      <c r="S605" s="52" t="b">
        <f t="shared" si="68"/>
        <v>0</v>
      </c>
      <c r="T605" s="52" t="b">
        <f t="shared" si="69"/>
        <v>0</v>
      </c>
    </row>
    <row r="606" spans="3:20" x14ac:dyDescent="0.2">
      <c r="C606" s="56" t="s">
        <v>52</v>
      </c>
      <c r="D606" s="40" t="s">
        <v>90</v>
      </c>
      <c r="E606" s="41" t="s">
        <v>91</v>
      </c>
      <c r="F606" s="41"/>
      <c r="G606" s="41"/>
      <c r="H606" s="41"/>
      <c r="I606" s="41"/>
      <c r="J606" s="41"/>
      <c r="K606" s="41"/>
      <c r="L606" s="42"/>
      <c r="M606" s="42" t="s">
        <v>11</v>
      </c>
      <c r="N606" s="52" t="b">
        <f t="shared" si="63"/>
        <v>0</v>
      </c>
      <c r="O606" s="52" t="b">
        <f t="shared" si="64"/>
        <v>0</v>
      </c>
      <c r="P606" s="52" t="b">
        <f t="shared" si="65"/>
        <v>0</v>
      </c>
      <c r="Q606" s="52" t="b">
        <f t="shared" si="66"/>
        <v>0</v>
      </c>
      <c r="R606" s="52" t="b">
        <f t="shared" si="67"/>
        <v>0</v>
      </c>
      <c r="S606" s="52" t="b">
        <f t="shared" si="68"/>
        <v>0</v>
      </c>
      <c r="T606" s="52" t="b">
        <f t="shared" si="69"/>
        <v>0</v>
      </c>
    </row>
    <row r="607" spans="3:20" x14ac:dyDescent="0.2">
      <c r="C607" s="56" t="s">
        <v>52</v>
      </c>
      <c r="D607" s="46" t="s">
        <v>92</v>
      </c>
      <c r="E607" s="47" t="s">
        <v>93</v>
      </c>
      <c r="F607" s="47" t="s">
        <v>67</v>
      </c>
      <c r="G607" s="47"/>
      <c r="H607" s="47"/>
      <c r="I607" s="47"/>
      <c r="J607" s="47"/>
      <c r="K607" s="47"/>
      <c r="L607" s="48"/>
      <c r="M607" s="48"/>
      <c r="N607" s="52" t="b">
        <f t="shared" si="63"/>
        <v>0</v>
      </c>
      <c r="O607" s="52" t="b">
        <f t="shared" si="64"/>
        <v>0</v>
      </c>
      <c r="P607" s="52" t="b">
        <f t="shared" si="65"/>
        <v>0</v>
      </c>
      <c r="Q607" s="52" t="b">
        <f t="shared" si="66"/>
        <v>0</v>
      </c>
      <c r="R607" s="52" t="b">
        <f t="shared" si="67"/>
        <v>0</v>
      </c>
      <c r="S607" s="52" t="b">
        <f t="shared" si="68"/>
        <v>0</v>
      </c>
      <c r="T607" s="52" t="b">
        <f t="shared" si="69"/>
        <v>0</v>
      </c>
    </row>
    <row r="608" spans="3:20" x14ac:dyDescent="0.2">
      <c r="C608" s="56" t="s">
        <v>52</v>
      </c>
      <c r="D608" s="40" t="s">
        <v>94</v>
      </c>
      <c r="E608" s="41" t="s">
        <v>95</v>
      </c>
      <c r="F608" s="41"/>
      <c r="G608" s="41"/>
      <c r="H608" s="41"/>
      <c r="I608" s="41"/>
      <c r="J608" s="41"/>
      <c r="K608" s="41"/>
      <c r="L608" s="42"/>
      <c r="M608" s="42" t="s">
        <v>11</v>
      </c>
      <c r="N608" s="52" t="b">
        <f t="shared" si="63"/>
        <v>0</v>
      </c>
      <c r="O608" s="52" t="b">
        <f t="shared" si="64"/>
        <v>0</v>
      </c>
      <c r="P608" s="52" t="b">
        <f t="shared" si="65"/>
        <v>0</v>
      </c>
      <c r="Q608" s="52" t="b">
        <f t="shared" si="66"/>
        <v>0</v>
      </c>
      <c r="R608" s="52" t="b">
        <f t="shared" si="67"/>
        <v>0</v>
      </c>
      <c r="S608" s="52" t="b">
        <f t="shared" si="68"/>
        <v>0</v>
      </c>
      <c r="T608" s="52" t="b">
        <f t="shared" si="69"/>
        <v>0</v>
      </c>
    </row>
    <row r="609" spans="3:20" ht="22.5" x14ac:dyDescent="0.2">
      <c r="C609" s="56" t="s">
        <v>52</v>
      </c>
      <c r="D609" s="40" t="s">
        <v>96</v>
      </c>
      <c r="E609" s="41" t="s">
        <v>97</v>
      </c>
      <c r="F609" s="41"/>
      <c r="G609" s="41"/>
      <c r="H609" s="41"/>
      <c r="I609" s="41"/>
      <c r="J609" s="41"/>
      <c r="K609" s="41"/>
      <c r="L609" s="42"/>
      <c r="M609" s="42" t="s">
        <v>11</v>
      </c>
      <c r="N609" s="52" t="b">
        <f t="shared" si="63"/>
        <v>0</v>
      </c>
      <c r="O609" s="52" t="b">
        <f t="shared" si="64"/>
        <v>0</v>
      </c>
      <c r="P609" s="52" t="b">
        <f t="shared" si="65"/>
        <v>0</v>
      </c>
      <c r="Q609" s="52" t="b">
        <f t="shared" si="66"/>
        <v>0</v>
      </c>
      <c r="R609" s="52" t="b">
        <f t="shared" si="67"/>
        <v>0</v>
      </c>
      <c r="S609" s="52" t="b">
        <f t="shared" si="68"/>
        <v>0</v>
      </c>
      <c r="T609" s="52" t="b">
        <f t="shared" si="69"/>
        <v>0</v>
      </c>
    </row>
    <row r="610" spans="3:20" ht="22.5" hidden="1" x14ac:dyDescent="0.2">
      <c r="C610" s="35"/>
      <c r="D610" s="35" t="s">
        <v>98</v>
      </c>
      <c r="E610" s="35" t="s">
        <v>99</v>
      </c>
      <c r="F610" s="35" t="s">
        <v>100</v>
      </c>
      <c r="G610" s="35" t="s">
        <v>101</v>
      </c>
      <c r="H610" s="35" t="s">
        <v>102</v>
      </c>
      <c r="I610" s="35" t="s">
        <v>103</v>
      </c>
      <c r="J610" s="35" t="s">
        <v>104</v>
      </c>
      <c r="K610" s="35" t="s">
        <v>105</v>
      </c>
      <c r="L610" s="35" t="s">
        <v>106</v>
      </c>
      <c r="M610" s="35" t="s">
        <v>107</v>
      </c>
      <c r="N610" s="52" t="b">
        <f t="shared" si="63"/>
        <v>0</v>
      </c>
      <c r="O610" s="52" t="b">
        <f t="shared" si="64"/>
        <v>0</v>
      </c>
      <c r="P610" s="52" t="b">
        <f t="shared" si="65"/>
        <v>0</v>
      </c>
      <c r="Q610" s="52" t="b">
        <f t="shared" si="66"/>
        <v>0</v>
      </c>
      <c r="R610" s="52" t="b">
        <f t="shared" si="67"/>
        <v>0</v>
      </c>
      <c r="S610" s="52" t="b">
        <f t="shared" si="68"/>
        <v>0</v>
      </c>
      <c r="T610" s="52" t="b">
        <f t="shared" si="69"/>
        <v>0</v>
      </c>
    </row>
    <row r="611" spans="3:20" ht="22.5" x14ac:dyDescent="0.2">
      <c r="C611" s="36" t="s">
        <v>52</v>
      </c>
      <c r="D611" s="37">
        <v>48</v>
      </c>
      <c r="E611" s="38" t="s">
        <v>867</v>
      </c>
      <c r="F611" s="38"/>
      <c r="G611" s="38"/>
      <c r="H611" s="38"/>
      <c r="I611" s="38"/>
      <c r="J611" s="38"/>
      <c r="K611" s="38"/>
      <c r="L611" s="39"/>
      <c r="M611" s="39"/>
      <c r="N611" s="52" t="b">
        <f t="shared" si="63"/>
        <v>0</v>
      </c>
      <c r="O611" s="52" t="b">
        <f t="shared" si="64"/>
        <v>0</v>
      </c>
      <c r="P611" s="52" t="b">
        <f t="shared" si="65"/>
        <v>0</v>
      </c>
      <c r="Q611" s="52" t="b">
        <f t="shared" si="66"/>
        <v>0</v>
      </c>
      <c r="R611" s="52" t="b">
        <f t="shared" si="67"/>
        <v>0</v>
      </c>
      <c r="S611" s="52" t="b">
        <f t="shared" si="68"/>
        <v>0</v>
      </c>
      <c r="T611" s="52" t="b">
        <f t="shared" si="69"/>
        <v>0</v>
      </c>
    </row>
    <row r="612" spans="3:20" ht="22.5" x14ac:dyDescent="0.2">
      <c r="C612" s="36" t="s">
        <v>52</v>
      </c>
      <c r="D612" s="46" t="s">
        <v>868</v>
      </c>
      <c r="E612" s="47" t="s">
        <v>869</v>
      </c>
      <c r="F612" s="47"/>
      <c r="G612" s="47"/>
      <c r="H612" s="47"/>
      <c r="I612" s="47"/>
      <c r="J612" s="47"/>
      <c r="K612" s="47"/>
      <c r="L612" s="48"/>
      <c r="M612" s="47" t="s">
        <v>87</v>
      </c>
      <c r="N612" s="52" t="str">
        <f t="shared" si="63"/>
        <v>48.1.</v>
      </c>
      <c r="O612" s="52" t="str">
        <f t="shared" si="64"/>
        <v>91.4.1</v>
      </c>
      <c r="P612" s="52" t="str">
        <f t="shared" si="65"/>
        <v>Прочие расходы</v>
      </c>
      <c r="Q612" s="52">
        <f t="shared" si="66"/>
        <v>21</v>
      </c>
      <c r="R612" s="52" t="str">
        <f t="shared" si="67"/>
        <v>Проценты, причитающиеся к уплате</v>
      </c>
      <c r="S612" s="52" t="str">
        <f t="shared" si="68"/>
        <v>Виды прочих расходов</v>
      </c>
      <c r="T612" s="52" t="str">
        <f t="shared" si="69"/>
        <v>% расходы по кредитам на создание необор.активов</v>
      </c>
    </row>
    <row r="613" spans="3:20" ht="22.5" x14ac:dyDescent="0.2">
      <c r="C613" s="36" t="s">
        <v>1087</v>
      </c>
      <c r="D613" s="97" t="s">
        <v>778</v>
      </c>
      <c r="E613" s="62"/>
      <c r="F613" s="62" t="s">
        <v>779</v>
      </c>
      <c r="G613" s="62">
        <v>21</v>
      </c>
      <c r="H613" s="62" t="s">
        <v>870</v>
      </c>
      <c r="I613" s="62" t="s">
        <v>134</v>
      </c>
      <c r="J613" s="84" t="s">
        <v>839</v>
      </c>
      <c r="K613" s="62"/>
      <c r="L613" s="72"/>
      <c r="M613" s="73"/>
      <c r="N613" s="52" t="b">
        <f t="shared" si="63"/>
        <v>0</v>
      </c>
      <c r="O613" s="52" t="b">
        <f t="shared" si="64"/>
        <v>0</v>
      </c>
      <c r="P613" s="52" t="b">
        <f t="shared" si="65"/>
        <v>0</v>
      </c>
      <c r="Q613" s="52" t="b">
        <f t="shared" si="66"/>
        <v>0</v>
      </c>
      <c r="R613" s="52" t="b">
        <f t="shared" si="67"/>
        <v>0</v>
      </c>
      <c r="S613" s="52" t="b">
        <f t="shared" si="68"/>
        <v>0</v>
      </c>
      <c r="T613" s="52" t="b">
        <f t="shared" si="69"/>
        <v>0</v>
      </c>
    </row>
    <row r="614" spans="3:20" ht="22.5" x14ac:dyDescent="0.2">
      <c r="C614" s="36" t="s">
        <v>52</v>
      </c>
      <c r="D614" s="46" t="s">
        <v>871</v>
      </c>
      <c r="E614" s="47" t="s">
        <v>872</v>
      </c>
      <c r="F614" s="47"/>
      <c r="G614" s="47"/>
      <c r="H614" s="47"/>
      <c r="I614" s="47"/>
      <c r="J614" s="84" t="s">
        <v>839</v>
      </c>
      <c r="K614" s="47"/>
      <c r="L614" s="48"/>
      <c r="M614" s="47" t="s">
        <v>87</v>
      </c>
      <c r="N614" s="52" t="b">
        <f t="shared" si="63"/>
        <v>0</v>
      </c>
      <c r="O614" s="52" t="b">
        <f t="shared" si="64"/>
        <v>0</v>
      </c>
      <c r="P614" s="52" t="b">
        <f t="shared" si="65"/>
        <v>0</v>
      </c>
      <c r="Q614" s="52" t="b">
        <f t="shared" si="66"/>
        <v>0</v>
      </c>
      <c r="R614" s="52" t="b">
        <f t="shared" si="67"/>
        <v>0</v>
      </c>
      <c r="S614" s="52" t="b">
        <f t="shared" si="68"/>
        <v>0</v>
      </c>
      <c r="T614" s="52" t="b">
        <f t="shared" si="69"/>
        <v>0</v>
      </c>
    </row>
    <row r="615" spans="3:20" ht="22.5" x14ac:dyDescent="0.2">
      <c r="C615" s="36" t="s">
        <v>52</v>
      </c>
      <c r="D615" s="40" t="s">
        <v>873</v>
      </c>
      <c r="E615" s="41" t="s">
        <v>874</v>
      </c>
      <c r="F615" s="41"/>
      <c r="G615" s="41"/>
      <c r="H615" s="41"/>
      <c r="I615" s="41"/>
      <c r="J615" s="41"/>
      <c r="K615" s="41"/>
      <c r="L615" s="42"/>
      <c r="M615" s="42"/>
      <c r="N615" s="52" t="b">
        <f t="shared" si="63"/>
        <v>0</v>
      </c>
      <c r="O615" s="52" t="b">
        <f t="shared" si="64"/>
        <v>0</v>
      </c>
      <c r="P615" s="52" t="b">
        <f t="shared" si="65"/>
        <v>0</v>
      </c>
      <c r="Q615" s="52" t="b">
        <f t="shared" si="66"/>
        <v>0</v>
      </c>
      <c r="R615" s="52" t="b">
        <f t="shared" si="67"/>
        <v>0</v>
      </c>
      <c r="S615" s="52" t="b">
        <f t="shared" si="68"/>
        <v>0</v>
      </c>
      <c r="T615" s="52" t="b">
        <f t="shared" si="69"/>
        <v>0</v>
      </c>
    </row>
    <row r="616" spans="3:20" x14ac:dyDescent="0.2">
      <c r="C616" s="36" t="s">
        <v>52</v>
      </c>
      <c r="D616" s="46" t="s">
        <v>875</v>
      </c>
      <c r="E616" s="47" t="s">
        <v>876</v>
      </c>
      <c r="F616" s="47"/>
      <c r="G616" s="47"/>
      <c r="H616" s="47"/>
      <c r="I616" s="47"/>
      <c r="J616" s="47"/>
      <c r="K616" s="47"/>
      <c r="L616" s="48"/>
      <c r="M616" s="47" t="s">
        <v>67</v>
      </c>
      <c r="N616" s="52" t="b">
        <f t="shared" si="63"/>
        <v>0</v>
      </c>
      <c r="O616" s="52" t="b">
        <f t="shared" si="64"/>
        <v>0</v>
      </c>
      <c r="P616" s="52" t="b">
        <f t="shared" si="65"/>
        <v>0</v>
      </c>
      <c r="Q616" s="52" t="b">
        <f t="shared" si="66"/>
        <v>0</v>
      </c>
      <c r="R616" s="52" t="b">
        <f t="shared" si="67"/>
        <v>0</v>
      </c>
      <c r="S616" s="52" t="b">
        <f t="shared" si="68"/>
        <v>0</v>
      </c>
      <c r="T616" s="52" t="b">
        <f t="shared" si="69"/>
        <v>0</v>
      </c>
    </row>
    <row r="617" spans="3:20" x14ac:dyDescent="0.2">
      <c r="C617" s="36" t="s">
        <v>52</v>
      </c>
      <c r="D617" s="46" t="s">
        <v>877</v>
      </c>
      <c r="E617" s="47" t="s">
        <v>878</v>
      </c>
      <c r="F617" s="47"/>
      <c r="G617" s="47"/>
      <c r="H617" s="47"/>
      <c r="I617" s="47"/>
      <c r="J617" s="47"/>
      <c r="K617" s="47"/>
      <c r="L617" s="48"/>
      <c r="M617" s="47"/>
      <c r="N617" s="52" t="str">
        <f t="shared" si="63"/>
        <v>48.4.1.</v>
      </c>
      <c r="O617" s="52" t="str">
        <f t="shared" si="64"/>
        <v>91.4.11</v>
      </c>
      <c r="P617" s="52" t="str">
        <f t="shared" si="65"/>
        <v>Прочие расходы (по местам хранения)</v>
      </c>
      <c r="Q617" s="52">
        <f t="shared" si="66"/>
        <v>5</v>
      </c>
      <c r="R617" s="52" t="str">
        <f t="shared" si="67"/>
        <v>Выбытие ОС (продажа)</v>
      </c>
      <c r="S617" s="52" t="str">
        <f t="shared" si="68"/>
        <v>Виды прочих расходов</v>
      </c>
      <c r="T617" s="52" t="str">
        <f t="shared" si="69"/>
        <v>Выбытие ОС (продажа)</v>
      </c>
    </row>
    <row r="618" spans="3:20" ht="22.5" x14ac:dyDescent="0.2">
      <c r="C618" s="36" t="s">
        <v>1087</v>
      </c>
      <c r="D618" s="97" t="s">
        <v>879</v>
      </c>
      <c r="E618" s="62"/>
      <c r="F618" s="62" t="s">
        <v>880</v>
      </c>
      <c r="G618" s="62">
        <v>5</v>
      </c>
      <c r="H618" s="62" t="s">
        <v>878</v>
      </c>
      <c r="I618" s="62" t="s">
        <v>134</v>
      </c>
      <c r="J618" s="62" t="s">
        <v>135</v>
      </c>
      <c r="K618" s="62"/>
      <c r="L618" s="72" t="s">
        <v>881</v>
      </c>
      <c r="M618" s="73"/>
      <c r="N618" s="52" t="b">
        <f t="shared" si="63"/>
        <v>0</v>
      </c>
      <c r="O618" s="52" t="b">
        <f t="shared" si="64"/>
        <v>0</v>
      </c>
      <c r="P618" s="52" t="b">
        <f t="shared" si="65"/>
        <v>0</v>
      </c>
      <c r="Q618" s="52" t="b">
        <f t="shared" si="66"/>
        <v>0</v>
      </c>
      <c r="R618" s="52" t="b">
        <f t="shared" si="67"/>
        <v>0</v>
      </c>
      <c r="S618" s="52" t="b">
        <f t="shared" si="68"/>
        <v>0</v>
      </c>
      <c r="T618" s="52" t="b">
        <f t="shared" si="69"/>
        <v>0</v>
      </c>
    </row>
    <row r="619" spans="3:20" x14ac:dyDescent="0.2">
      <c r="C619" s="36" t="s">
        <v>52</v>
      </c>
      <c r="D619" s="46" t="s">
        <v>882</v>
      </c>
      <c r="E619" s="47" t="s">
        <v>883</v>
      </c>
      <c r="F619" s="47"/>
      <c r="G619" s="47"/>
      <c r="H619" s="47"/>
      <c r="I619" s="47"/>
      <c r="J619" s="47"/>
      <c r="K619" s="47"/>
      <c r="L619" s="48"/>
      <c r="M619" s="47"/>
      <c r="N619" s="52" t="str">
        <f t="shared" si="63"/>
        <v>48.4.2.</v>
      </c>
      <c r="O619" s="52" t="str">
        <f t="shared" si="64"/>
        <v>91.4.11</v>
      </c>
      <c r="P619" s="52" t="str">
        <f t="shared" si="65"/>
        <v>Прочие расходы (по местам хранения)</v>
      </c>
      <c r="Q619" s="52">
        <f t="shared" si="66"/>
        <v>29</v>
      </c>
      <c r="R619" s="52" t="str">
        <f t="shared" si="67"/>
        <v>Выбытие ОС (списание)</v>
      </c>
      <c r="S619" s="52" t="str">
        <f t="shared" si="68"/>
        <v>Виды прочих расходов</v>
      </c>
      <c r="T619" s="52" t="str">
        <f t="shared" si="69"/>
        <v>Выбытие ОС (списание)</v>
      </c>
    </row>
    <row r="620" spans="3:20" ht="22.5" x14ac:dyDescent="0.2">
      <c r="C620" s="36" t="s">
        <v>1087</v>
      </c>
      <c r="D620" s="97" t="s">
        <v>879</v>
      </c>
      <c r="E620" s="62"/>
      <c r="F620" s="62" t="s">
        <v>880</v>
      </c>
      <c r="G620" s="62">
        <v>29</v>
      </c>
      <c r="H620" s="62" t="s">
        <v>883</v>
      </c>
      <c r="I620" s="62" t="s">
        <v>134</v>
      </c>
      <c r="J620" s="62" t="s">
        <v>135</v>
      </c>
      <c r="K620" s="62"/>
      <c r="L620" s="72" t="s">
        <v>881</v>
      </c>
      <c r="M620" s="73"/>
      <c r="N620" s="52" t="b">
        <f t="shared" si="63"/>
        <v>0</v>
      </c>
      <c r="O620" s="52" t="b">
        <f t="shared" si="64"/>
        <v>0</v>
      </c>
      <c r="P620" s="52" t="b">
        <f t="shared" si="65"/>
        <v>0</v>
      </c>
      <c r="Q620" s="52" t="b">
        <f t="shared" si="66"/>
        <v>0</v>
      </c>
      <c r="R620" s="52" t="b">
        <f t="shared" si="67"/>
        <v>0</v>
      </c>
      <c r="S620" s="52" t="b">
        <f t="shared" si="68"/>
        <v>0</v>
      </c>
      <c r="T620" s="52" t="b">
        <f t="shared" si="69"/>
        <v>0</v>
      </c>
    </row>
    <row r="621" spans="3:20" ht="10.15" customHeight="1" x14ac:dyDescent="0.2">
      <c r="C621" s="36" t="s">
        <v>52</v>
      </c>
      <c r="D621" s="46" t="s">
        <v>884</v>
      </c>
      <c r="E621" s="47" t="s">
        <v>95</v>
      </c>
      <c r="F621" s="47"/>
      <c r="G621" s="47"/>
      <c r="H621" s="47"/>
      <c r="I621" s="47"/>
      <c r="J621" s="47"/>
      <c r="K621" s="47"/>
      <c r="L621" s="48"/>
      <c r="M621" s="47" t="s">
        <v>67</v>
      </c>
      <c r="N621" s="52" t="b">
        <f t="shared" si="63"/>
        <v>0</v>
      </c>
      <c r="O621" s="52" t="b">
        <f t="shared" si="64"/>
        <v>0</v>
      </c>
      <c r="P621" s="52" t="b">
        <f t="shared" si="65"/>
        <v>0</v>
      </c>
      <c r="Q621" s="52" t="b">
        <f t="shared" si="66"/>
        <v>0</v>
      </c>
      <c r="R621" s="52" t="b">
        <f t="shared" si="67"/>
        <v>0</v>
      </c>
      <c r="S621" s="52" t="b">
        <f t="shared" si="68"/>
        <v>0</v>
      </c>
      <c r="T621" s="52" t="b">
        <f t="shared" si="69"/>
        <v>0</v>
      </c>
    </row>
    <row r="622" spans="3:20" ht="10.15" customHeight="1" x14ac:dyDescent="0.2">
      <c r="C622" s="36" t="s">
        <v>52</v>
      </c>
      <c r="D622" s="46" t="s">
        <v>885</v>
      </c>
      <c r="E622" s="47" t="s">
        <v>886</v>
      </c>
      <c r="F622" s="47"/>
      <c r="G622" s="47"/>
      <c r="H622" s="47"/>
      <c r="I622" s="47"/>
      <c r="J622" s="47"/>
      <c r="K622" s="47"/>
      <c r="L622" s="48"/>
      <c r="M622" s="47"/>
      <c r="N622" s="52" t="str">
        <f t="shared" si="63"/>
        <v>48.5.1.</v>
      </c>
      <c r="O622" s="52" t="str">
        <f t="shared" si="64"/>
        <v>91.4.11</v>
      </c>
      <c r="P622" s="52" t="str">
        <f t="shared" si="65"/>
        <v>Прочие расходы (по местам хранения)</v>
      </c>
      <c r="Q622" s="52">
        <f t="shared" si="66"/>
        <v>121</v>
      </c>
      <c r="R622" s="52" t="str">
        <f t="shared" si="67"/>
        <v>Недостача ОС, долгосрочных активов</v>
      </c>
      <c r="S622" s="52" t="str">
        <f t="shared" si="68"/>
        <v>Виды прочих расходов</v>
      </c>
      <c r="T622" s="52" t="str">
        <f t="shared" si="69"/>
        <v>Недостача ОС, долгосрочных активов</v>
      </c>
    </row>
    <row r="623" spans="3:20" ht="22.5" x14ac:dyDescent="0.2">
      <c r="C623" s="36" t="s">
        <v>1087</v>
      </c>
      <c r="D623" s="97" t="s">
        <v>879</v>
      </c>
      <c r="E623" s="62"/>
      <c r="F623" s="62" t="s">
        <v>880</v>
      </c>
      <c r="G623" s="62">
        <v>121</v>
      </c>
      <c r="H623" s="62" t="s">
        <v>886</v>
      </c>
      <c r="I623" s="62" t="s">
        <v>134</v>
      </c>
      <c r="J623" s="62" t="s">
        <v>135</v>
      </c>
      <c r="K623" s="62"/>
      <c r="L623" s="72"/>
      <c r="M623" s="73"/>
      <c r="N623" s="52" t="b">
        <f t="shared" si="63"/>
        <v>0</v>
      </c>
      <c r="O623" s="52" t="b">
        <f t="shared" si="64"/>
        <v>0</v>
      </c>
      <c r="P623" s="52" t="b">
        <f t="shared" si="65"/>
        <v>0</v>
      </c>
      <c r="Q623" s="52" t="b">
        <f t="shared" si="66"/>
        <v>0</v>
      </c>
      <c r="R623" s="52" t="b">
        <f t="shared" si="67"/>
        <v>0</v>
      </c>
      <c r="S623" s="52" t="b">
        <f t="shared" si="68"/>
        <v>0</v>
      </c>
      <c r="T623" s="52" t="b">
        <f t="shared" si="69"/>
        <v>0</v>
      </c>
    </row>
    <row r="624" spans="3:20" ht="10.15" customHeight="1" x14ac:dyDescent="0.2">
      <c r="C624" s="36" t="s">
        <v>52</v>
      </c>
      <c r="D624" s="46" t="s">
        <v>887</v>
      </c>
      <c r="E624" s="47" t="s">
        <v>888</v>
      </c>
      <c r="F624" s="47"/>
      <c r="G624" s="47"/>
      <c r="H624" s="47"/>
      <c r="I624" s="47"/>
      <c r="J624" s="47"/>
      <c r="K624" s="47"/>
      <c r="L624" s="48"/>
      <c r="M624" s="47"/>
      <c r="N624" s="52" t="str">
        <f t="shared" si="63"/>
        <v>48.5.2.</v>
      </c>
      <c r="O624" s="52" t="str">
        <f t="shared" si="64"/>
        <v>44.2 / 44.3</v>
      </c>
      <c r="P624" s="52" t="str">
        <f t="shared" si="65"/>
        <v>Расходы на реализацию в торговле / Управленческие расходы в торговле</v>
      </c>
      <c r="Q624" s="52">
        <f t="shared" si="66"/>
        <v>569</v>
      </c>
      <c r="R624" s="52" t="str">
        <f t="shared" si="67"/>
        <v>Вознаграждение по банковской гарантии</v>
      </c>
      <c r="S624" s="52" t="str">
        <f t="shared" si="68"/>
        <v>Элементы затрат</v>
      </c>
      <c r="T624" s="52" t="str">
        <f t="shared" si="69"/>
        <v>Вознаграждение по банковской гарантии</v>
      </c>
    </row>
    <row r="625" spans="3:20" ht="22.5" x14ac:dyDescent="0.2">
      <c r="C625" s="36" t="s">
        <v>1087</v>
      </c>
      <c r="D625" s="61" t="s">
        <v>125</v>
      </c>
      <c r="E625" s="62"/>
      <c r="F625" s="62" t="s">
        <v>126</v>
      </c>
      <c r="G625" s="62">
        <v>569</v>
      </c>
      <c r="H625" s="62" t="s">
        <v>888</v>
      </c>
      <c r="I625" s="62" t="s">
        <v>127</v>
      </c>
      <c r="J625" s="62" t="s">
        <v>128</v>
      </c>
      <c r="K625" s="62" t="s">
        <v>129</v>
      </c>
      <c r="L625" s="72"/>
      <c r="M625" s="73"/>
      <c r="N625" s="52" t="b">
        <f t="shared" si="63"/>
        <v>0</v>
      </c>
      <c r="O625" s="52" t="b">
        <f t="shared" si="64"/>
        <v>0</v>
      </c>
      <c r="P625" s="52" t="b">
        <f t="shared" si="65"/>
        <v>0</v>
      </c>
      <c r="Q625" s="52" t="b">
        <f t="shared" si="66"/>
        <v>0</v>
      </c>
      <c r="R625" s="52" t="b">
        <f t="shared" si="67"/>
        <v>0</v>
      </c>
      <c r="S625" s="52" t="b">
        <f t="shared" si="68"/>
        <v>0</v>
      </c>
      <c r="T625" s="52" t="b">
        <f t="shared" si="69"/>
        <v>0</v>
      </c>
    </row>
    <row r="626" spans="3:20" ht="22.5" x14ac:dyDescent="0.2">
      <c r="C626" s="36" t="s">
        <v>52</v>
      </c>
      <c r="D626" s="37">
        <v>49</v>
      </c>
      <c r="E626" s="38" t="s">
        <v>889</v>
      </c>
      <c r="F626" s="38"/>
      <c r="G626" s="38"/>
      <c r="H626" s="38"/>
      <c r="I626" s="38"/>
      <c r="J626" s="38"/>
      <c r="K626" s="38"/>
      <c r="L626" s="39"/>
      <c r="M626" s="39" t="s">
        <v>890</v>
      </c>
      <c r="N626" s="52" t="b">
        <f t="shared" si="63"/>
        <v>0</v>
      </c>
      <c r="O626" s="52" t="b">
        <f t="shared" si="64"/>
        <v>0</v>
      </c>
      <c r="P626" s="52" t="b">
        <f t="shared" si="65"/>
        <v>0</v>
      </c>
      <c r="Q626" s="52" t="b">
        <f t="shared" si="66"/>
        <v>0</v>
      </c>
      <c r="R626" s="52" t="b">
        <f t="shared" si="67"/>
        <v>0</v>
      </c>
      <c r="S626" s="52" t="b">
        <f t="shared" si="68"/>
        <v>0</v>
      </c>
      <c r="T626" s="52" t="b">
        <f t="shared" si="69"/>
        <v>0</v>
      </c>
    </row>
    <row r="627" spans="3:20" x14ac:dyDescent="0.2">
      <c r="C627" s="36" t="s">
        <v>52</v>
      </c>
      <c r="D627" s="37">
        <v>50</v>
      </c>
      <c r="E627" s="38" t="s">
        <v>891</v>
      </c>
      <c r="F627" s="38"/>
      <c r="G627" s="38"/>
      <c r="H627" s="38"/>
      <c r="I627" s="38"/>
      <c r="J627" s="38"/>
      <c r="K627" s="38"/>
      <c r="L627" s="39"/>
      <c r="M627" s="38" t="s">
        <v>892</v>
      </c>
      <c r="N627" s="52">
        <f t="shared" si="63"/>
        <v>50</v>
      </c>
      <c r="O627" s="52" t="str">
        <f t="shared" si="64"/>
        <v>68.3.1</v>
      </c>
      <c r="P627" s="52" t="str">
        <f t="shared" si="65"/>
        <v>Налог на прибыль</v>
      </c>
      <c r="Q627" s="52">
        <f t="shared" si="66"/>
        <v>0</v>
      </c>
      <c r="R627" s="52">
        <f t="shared" si="67"/>
        <v>0</v>
      </c>
      <c r="S627" s="52" t="str">
        <f t="shared" si="68"/>
        <v>Платежи в бюджет</v>
      </c>
      <c r="T627" s="52" t="str">
        <f t="shared" si="69"/>
        <v>Налог на прибыль</v>
      </c>
    </row>
    <row r="628" spans="3:20" ht="22.5" x14ac:dyDescent="0.2">
      <c r="C628" s="36" t="s">
        <v>1087</v>
      </c>
      <c r="D628" s="61" t="s">
        <v>893</v>
      </c>
      <c r="E628" s="62"/>
      <c r="F628" s="62" t="s">
        <v>891</v>
      </c>
      <c r="G628" s="62"/>
      <c r="H628" s="62"/>
      <c r="I628" s="62" t="s">
        <v>894</v>
      </c>
      <c r="J628" s="62"/>
      <c r="K628" s="62"/>
      <c r="L628" s="72"/>
      <c r="M628" s="73"/>
      <c r="N628" s="52" t="b">
        <f t="shared" si="63"/>
        <v>0</v>
      </c>
      <c r="O628" s="52" t="b">
        <f t="shared" si="64"/>
        <v>0</v>
      </c>
      <c r="P628" s="52" t="b">
        <f t="shared" si="65"/>
        <v>0</v>
      </c>
      <c r="Q628" s="52" t="b">
        <f t="shared" si="66"/>
        <v>0</v>
      </c>
      <c r="R628" s="52" t="b">
        <f t="shared" si="67"/>
        <v>0</v>
      </c>
      <c r="S628" s="52" t="b">
        <f t="shared" si="68"/>
        <v>0</v>
      </c>
      <c r="T628" s="52" t="b">
        <f t="shared" si="69"/>
        <v>0</v>
      </c>
    </row>
    <row r="629" spans="3:20" x14ac:dyDescent="0.2">
      <c r="C629" s="36" t="s">
        <v>52</v>
      </c>
      <c r="D629" s="37">
        <v>51</v>
      </c>
      <c r="E629" s="38" t="s">
        <v>895</v>
      </c>
      <c r="F629" s="98"/>
      <c r="G629" s="98"/>
      <c r="H629" s="98"/>
      <c r="I629" s="98"/>
      <c r="J629" s="98"/>
      <c r="K629" s="98"/>
      <c r="L629" s="98"/>
      <c r="M629" s="98" t="s">
        <v>896</v>
      </c>
      <c r="N629" s="52" t="b">
        <f t="shared" si="63"/>
        <v>0</v>
      </c>
      <c r="O629" s="52" t="b">
        <f t="shared" si="64"/>
        <v>0</v>
      </c>
      <c r="P629" s="52" t="b">
        <f t="shared" si="65"/>
        <v>0</v>
      </c>
      <c r="Q629" s="52" t="b">
        <f t="shared" si="66"/>
        <v>0</v>
      </c>
      <c r="R629" s="52" t="b">
        <f t="shared" si="67"/>
        <v>0</v>
      </c>
      <c r="S629" s="52" t="b">
        <f t="shared" si="68"/>
        <v>0</v>
      </c>
      <c r="T629" s="52" t="b">
        <f t="shared" si="69"/>
        <v>0</v>
      </c>
    </row>
    <row r="630" spans="3:20" x14ac:dyDescent="0.2">
      <c r="C630" s="36" t="s">
        <v>52</v>
      </c>
      <c r="D630" s="46" t="s">
        <v>897</v>
      </c>
      <c r="E630" s="47" t="s">
        <v>19</v>
      </c>
      <c r="F630" s="47"/>
      <c r="G630" s="47"/>
      <c r="H630" s="47"/>
      <c r="I630" s="47"/>
      <c r="J630" s="47"/>
      <c r="K630" s="47"/>
      <c r="L630" s="48"/>
      <c r="M630" s="48"/>
      <c r="N630" s="52" t="b">
        <f t="shared" si="63"/>
        <v>0</v>
      </c>
      <c r="O630" s="52" t="b">
        <f t="shared" si="64"/>
        <v>0</v>
      </c>
      <c r="P630" s="52" t="b">
        <f t="shared" si="65"/>
        <v>0</v>
      </c>
      <c r="Q630" s="52" t="b">
        <f t="shared" si="66"/>
        <v>0</v>
      </c>
      <c r="R630" s="52" t="b">
        <f t="shared" si="67"/>
        <v>0</v>
      </c>
      <c r="S630" s="52" t="b">
        <f t="shared" si="68"/>
        <v>0</v>
      </c>
      <c r="T630" s="52" t="b">
        <f t="shared" si="69"/>
        <v>0</v>
      </c>
    </row>
    <row r="631" spans="3:20" ht="22.5" x14ac:dyDescent="0.2">
      <c r="C631" s="36" t="s">
        <v>52</v>
      </c>
      <c r="D631" s="37">
        <v>52</v>
      </c>
      <c r="E631" s="38" t="s">
        <v>898</v>
      </c>
      <c r="F631" s="38"/>
      <c r="G631" s="38"/>
      <c r="H631" s="38"/>
      <c r="I631" s="38"/>
      <c r="J631" s="38"/>
      <c r="K631" s="38"/>
      <c r="L631" s="39"/>
      <c r="M631" s="39" t="s">
        <v>74</v>
      </c>
      <c r="N631" s="52" t="b">
        <f t="shared" si="63"/>
        <v>0</v>
      </c>
      <c r="O631" s="52" t="b">
        <f t="shared" si="64"/>
        <v>0</v>
      </c>
      <c r="P631" s="52" t="b">
        <f t="shared" si="65"/>
        <v>0</v>
      </c>
      <c r="Q631" s="52" t="b">
        <f t="shared" si="66"/>
        <v>0</v>
      </c>
      <c r="R631" s="52" t="b">
        <f t="shared" si="67"/>
        <v>0</v>
      </c>
      <c r="S631" s="52" t="b">
        <f t="shared" si="68"/>
        <v>0</v>
      </c>
      <c r="T631" s="52" t="b">
        <f t="shared" si="69"/>
        <v>0</v>
      </c>
    </row>
    <row r="632" spans="3:20" hidden="1" x14ac:dyDescent="0.2">
      <c r="N632" s="52" t="b">
        <f t="shared" si="63"/>
        <v>0</v>
      </c>
      <c r="O632" s="52" t="b">
        <f t="shared" si="64"/>
        <v>0</v>
      </c>
      <c r="P632" s="52" t="b">
        <f t="shared" si="65"/>
        <v>0</v>
      </c>
      <c r="Q632" s="52" t="b">
        <f t="shared" si="66"/>
        <v>0</v>
      </c>
      <c r="R632" s="52" t="b">
        <f t="shared" si="67"/>
        <v>0</v>
      </c>
      <c r="S632" s="52" t="b">
        <f t="shared" si="68"/>
        <v>0</v>
      </c>
      <c r="T632" s="52" t="b">
        <f t="shared" si="69"/>
        <v>0</v>
      </c>
    </row>
    <row r="633" spans="3:20" ht="23.25" hidden="1" thickBot="1" x14ac:dyDescent="0.25">
      <c r="D633" s="99" t="s">
        <v>899</v>
      </c>
      <c r="E633" s="100"/>
      <c r="F633" s="100"/>
      <c r="G633" s="100"/>
      <c r="H633" s="100"/>
      <c r="I633" s="100"/>
      <c r="J633" s="100"/>
      <c r="K633" s="100"/>
      <c r="L633" s="101"/>
      <c r="M633" s="102" t="s">
        <v>900</v>
      </c>
      <c r="N633" s="52" t="b">
        <f t="shared" si="63"/>
        <v>0</v>
      </c>
      <c r="O633" s="52" t="b">
        <f t="shared" si="64"/>
        <v>0</v>
      </c>
      <c r="P633" s="52" t="b">
        <f t="shared" si="65"/>
        <v>0</v>
      </c>
      <c r="Q633" s="52" t="b">
        <f t="shared" si="66"/>
        <v>0</v>
      </c>
      <c r="R633" s="52" t="b">
        <f t="shared" si="67"/>
        <v>0</v>
      </c>
      <c r="S633" s="52" t="b">
        <f t="shared" si="68"/>
        <v>0</v>
      </c>
      <c r="T633" s="52" t="b">
        <f t="shared" si="69"/>
        <v>0</v>
      </c>
    </row>
    <row r="634" spans="3:20" hidden="1" x14ac:dyDescent="0.2">
      <c r="N634" s="52" t="b">
        <f t="shared" si="63"/>
        <v>0</v>
      </c>
      <c r="O634" s="52" t="b">
        <f t="shared" si="64"/>
        <v>0</v>
      </c>
      <c r="P634" s="52" t="b">
        <f t="shared" si="65"/>
        <v>0</v>
      </c>
      <c r="Q634" s="52" t="b">
        <f t="shared" si="66"/>
        <v>0</v>
      </c>
      <c r="R634" s="52" t="b">
        <f t="shared" si="67"/>
        <v>0</v>
      </c>
      <c r="S634" s="52" t="b">
        <f t="shared" si="68"/>
        <v>0</v>
      </c>
      <c r="T634" s="52" t="b">
        <f t="shared" si="69"/>
        <v>0</v>
      </c>
    </row>
    <row r="635" spans="3:20" hidden="1" x14ac:dyDescent="0.2">
      <c r="D635" s="46"/>
      <c r="E635" s="47" t="s">
        <v>901</v>
      </c>
      <c r="F635" s="47"/>
      <c r="G635" s="47"/>
      <c r="H635" s="47"/>
      <c r="I635" s="47"/>
      <c r="J635" s="47"/>
      <c r="K635" s="47"/>
      <c r="L635" s="48"/>
      <c r="M635" s="48"/>
      <c r="N635" s="52" t="b">
        <f t="shared" si="63"/>
        <v>0</v>
      </c>
      <c r="O635" s="52" t="b">
        <f t="shared" si="64"/>
        <v>0</v>
      </c>
      <c r="P635" s="52" t="b">
        <f t="shared" si="65"/>
        <v>0</v>
      </c>
      <c r="Q635" s="52" t="b">
        <f t="shared" si="66"/>
        <v>0</v>
      </c>
      <c r="R635" s="52" t="b">
        <f t="shared" si="67"/>
        <v>0</v>
      </c>
      <c r="S635" s="52" t="b">
        <f t="shared" si="68"/>
        <v>0</v>
      </c>
      <c r="T635" s="52" t="b">
        <f t="shared" si="69"/>
        <v>0</v>
      </c>
    </row>
    <row r="636" spans="3:20" x14ac:dyDescent="0.2">
      <c r="C636" s="56" t="s">
        <v>52</v>
      </c>
      <c r="D636" s="46"/>
      <c r="E636" s="47" t="s">
        <v>902</v>
      </c>
      <c r="F636" s="47"/>
      <c r="G636" s="47"/>
      <c r="H636" s="47"/>
      <c r="I636" s="47"/>
      <c r="J636" s="47"/>
      <c r="K636" s="47"/>
      <c r="L636" s="48"/>
      <c r="M636" s="48"/>
      <c r="N636" s="52">
        <f t="shared" si="63"/>
        <v>0</v>
      </c>
      <c r="O636" s="52" t="str">
        <f t="shared" si="64"/>
        <v>44.2 / 44.3</v>
      </c>
      <c r="P636" s="52" t="str">
        <f t="shared" si="65"/>
        <v>Расходы на реализацию в торговле / Управленческие расходы в торговле</v>
      </c>
      <c r="Q636" s="52">
        <f t="shared" si="66"/>
        <v>5</v>
      </c>
      <c r="R636" s="52" t="str">
        <f t="shared" si="67"/>
        <v>Амортизация НМА</v>
      </c>
      <c r="S636" s="52" t="str">
        <f t="shared" si="68"/>
        <v>Элементы затрат</v>
      </c>
      <c r="T636" s="52" t="str">
        <f t="shared" si="69"/>
        <v>Амортизация НМА</v>
      </c>
    </row>
    <row r="637" spans="3:20" ht="22.5" x14ac:dyDescent="0.2">
      <c r="C637" s="36" t="s">
        <v>1087</v>
      </c>
      <c r="D637" s="61" t="s">
        <v>125</v>
      </c>
      <c r="E637" s="62"/>
      <c r="F637" s="62" t="s">
        <v>126</v>
      </c>
      <c r="G637" s="62">
        <v>5</v>
      </c>
      <c r="H637" s="62" t="s">
        <v>902</v>
      </c>
      <c r="I637" s="62" t="s">
        <v>127</v>
      </c>
      <c r="J637" s="62" t="s">
        <v>128</v>
      </c>
      <c r="K637" s="62" t="s">
        <v>129</v>
      </c>
      <c r="L637" s="72"/>
      <c r="M637" s="73"/>
      <c r="N637" s="52" t="b">
        <f t="shared" si="63"/>
        <v>0</v>
      </c>
      <c r="O637" s="52" t="b">
        <f t="shared" si="64"/>
        <v>0</v>
      </c>
      <c r="P637" s="52" t="b">
        <f t="shared" si="65"/>
        <v>0</v>
      </c>
      <c r="Q637" s="52" t="b">
        <f t="shared" si="66"/>
        <v>0</v>
      </c>
      <c r="R637" s="52" t="b">
        <f t="shared" si="67"/>
        <v>0</v>
      </c>
      <c r="S637" s="52" t="b">
        <f t="shared" si="68"/>
        <v>0</v>
      </c>
      <c r="T637" s="52" t="b">
        <f t="shared" si="69"/>
        <v>0</v>
      </c>
    </row>
    <row r="638" spans="3:20" x14ac:dyDescent="0.2">
      <c r="C638" s="56" t="s">
        <v>52</v>
      </c>
      <c r="D638" s="46"/>
      <c r="E638" s="47" t="s">
        <v>903</v>
      </c>
      <c r="F638" s="47"/>
      <c r="G638" s="47"/>
      <c r="H638" s="47"/>
      <c r="I638" s="47"/>
      <c r="J638" s="47"/>
      <c r="K638" s="47"/>
      <c r="L638" s="48"/>
      <c r="M638" s="48"/>
      <c r="N638" s="52">
        <f t="shared" si="63"/>
        <v>0</v>
      </c>
      <c r="O638" s="52" t="str">
        <f t="shared" si="64"/>
        <v>90.10.11.</v>
      </c>
      <c r="P638" s="52" t="str">
        <f t="shared" si="65"/>
        <v>Прочие расходы по текущей деятельности (по местам хранения)</v>
      </c>
      <c r="Q638" s="52">
        <f t="shared" si="66"/>
        <v>37</v>
      </c>
      <c r="R638" s="52" t="str">
        <f t="shared" si="67"/>
        <v>Амортизация ОС,НМА</v>
      </c>
      <c r="S638" s="52" t="str">
        <f t="shared" si="68"/>
        <v>Виды прочих расходов</v>
      </c>
      <c r="T638" s="52" t="str">
        <f t="shared" si="69"/>
        <v>Амортизация ОС,НМА</v>
      </c>
    </row>
    <row r="639" spans="3:20" ht="22.5" x14ac:dyDescent="0.2">
      <c r="C639" s="36" t="s">
        <v>1087</v>
      </c>
      <c r="D639" s="61" t="s">
        <v>904</v>
      </c>
      <c r="E639" s="62"/>
      <c r="F639" s="62" t="s">
        <v>467</v>
      </c>
      <c r="G639" s="62">
        <v>37</v>
      </c>
      <c r="H639" s="62" t="s">
        <v>903</v>
      </c>
      <c r="I639" s="62" t="s">
        <v>134</v>
      </c>
      <c r="J639" s="62" t="s">
        <v>135</v>
      </c>
      <c r="K639" s="62"/>
      <c r="L639" s="72"/>
      <c r="M639" s="73"/>
      <c r="N639" s="52" t="b">
        <f t="shared" si="63"/>
        <v>0</v>
      </c>
      <c r="O639" s="52" t="b">
        <f t="shared" si="64"/>
        <v>0</v>
      </c>
      <c r="P639" s="52" t="b">
        <f t="shared" si="65"/>
        <v>0</v>
      </c>
      <c r="Q639" s="52" t="b">
        <f t="shared" si="66"/>
        <v>0</v>
      </c>
      <c r="R639" s="52" t="b">
        <f t="shared" si="67"/>
        <v>0</v>
      </c>
      <c r="S639" s="52" t="b">
        <f t="shared" si="68"/>
        <v>0</v>
      </c>
      <c r="T639" s="52" t="b">
        <f t="shared" si="69"/>
        <v>0</v>
      </c>
    </row>
    <row r="640" spans="3:20" x14ac:dyDescent="0.2">
      <c r="C640" s="56" t="s">
        <v>52</v>
      </c>
      <c r="D640" s="46"/>
      <c r="E640" s="47" t="s">
        <v>905</v>
      </c>
      <c r="F640" s="47"/>
      <c r="G640" s="47"/>
      <c r="H640" s="47"/>
      <c r="I640" s="47"/>
      <c r="J640" s="47"/>
      <c r="K640" s="47"/>
      <c r="L640" s="48"/>
      <c r="M640" s="48"/>
      <c r="N640" s="52">
        <f t="shared" si="63"/>
        <v>0</v>
      </c>
      <c r="O640" s="52" t="str">
        <f t="shared" si="64"/>
        <v>44.2 / 44.3</v>
      </c>
      <c r="P640" s="52" t="str">
        <f t="shared" si="65"/>
        <v>Расходы на реализацию в торговле / Управленческие расходы в торговле</v>
      </c>
      <c r="Q640" s="52">
        <f t="shared" si="66"/>
        <v>4</v>
      </c>
      <c r="R640" s="52" t="str">
        <f t="shared" si="67"/>
        <v>Амортизация ОС</v>
      </c>
      <c r="S640" s="52" t="str">
        <f t="shared" si="68"/>
        <v>Элементы затрат</v>
      </c>
      <c r="T640" s="52" t="str">
        <f t="shared" si="69"/>
        <v>Амортизация ОС</v>
      </c>
    </row>
    <row r="641" spans="3:20" ht="22.5" x14ac:dyDescent="0.2">
      <c r="C641" s="36" t="s">
        <v>1087</v>
      </c>
      <c r="D641" s="61" t="s">
        <v>125</v>
      </c>
      <c r="E641" s="62"/>
      <c r="F641" s="62" t="s">
        <v>126</v>
      </c>
      <c r="G641" s="62">
        <v>4</v>
      </c>
      <c r="H641" s="62" t="s">
        <v>905</v>
      </c>
      <c r="I641" s="62" t="s">
        <v>127</v>
      </c>
      <c r="J641" s="62" t="s">
        <v>128</v>
      </c>
      <c r="K641" s="62" t="s">
        <v>129</v>
      </c>
      <c r="L641" s="72"/>
      <c r="M641" s="73"/>
      <c r="N641" s="52" t="b">
        <f t="shared" si="63"/>
        <v>0</v>
      </c>
      <c r="O641" s="52" t="b">
        <f t="shared" si="64"/>
        <v>0</v>
      </c>
      <c r="P641" s="52" t="b">
        <f t="shared" si="65"/>
        <v>0</v>
      </c>
      <c r="Q641" s="52" t="b">
        <f t="shared" si="66"/>
        <v>0</v>
      </c>
      <c r="R641" s="52" t="b">
        <f t="shared" si="67"/>
        <v>0</v>
      </c>
      <c r="S641" s="52" t="b">
        <f t="shared" si="68"/>
        <v>0</v>
      </c>
      <c r="T641" s="52" t="b">
        <f t="shared" si="69"/>
        <v>0</v>
      </c>
    </row>
    <row r="642" spans="3:20" x14ac:dyDescent="0.2">
      <c r="C642" s="56" t="s">
        <v>52</v>
      </c>
      <c r="D642" s="46"/>
      <c r="E642" s="47" t="s">
        <v>906</v>
      </c>
      <c r="F642" s="47"/>
      <c r="G642" s="47"/>
      <c r="H642" s="47"/>
      <c r="I642" s="47"/>
      <c r="J642" s="47"/>
      <c r="K642" s="47"/>
      <c r="L642" s="48"/>
      <c r="M642" s="48"/>
      <c r="N642" s="52">
        <f t="shared" si="63"/>
        <v>0</v>
      </c>
      <c r="O642" s="52" t="str">
        <f t="shared" si="64"/>
        <v>20.1.</v>
      </c>
      <c r="P642" s="52" t="str">
        <f t="shared" si="65"/>
        <v>Основное производство</v>
      </c>
      <c r="Q642" s="52">
        <f t="shared" si="66"/>
        <v>4.5</v>
      </c>
      <c r="R642" s="52" t="str">
        <f t="shared" si="67"/>
        <v>Амортизация ОС,НМА</v>
      </c>
      <c r="S642" s="52" t="str">
        <f t="shared" si="68"/>
        <v>Элементы затрат</v>
      </c>
      <c r="T642" s="52" t="str">
        <f t="shared" si="69"/>
        <v>амортизация ОС, НМА (Рековиа)</v>
      </c>
    </row>
    <row r="643" spans="3:20" ht="22.5" x14ac:dyDescent="0.2">
      <c r="C643" s="36" t="s">
        <v>1087</v>
      </c>
      <c r="D643" s="61" t="s">
        <v>347</v>
      </c>
      <c r="E643" s="62"/>
      <c r="F643" s="62" t="s">
        <v>792</v>
      </c>
      <c r="G643" s="62">
        <v>4.5</v>
      </c>
      <c r="H643" s="62" t="s">
        <v>903</v>
      </c>
      <c r="I643" s="62" t="s">
        <v>127</v>
      </c>
      <c r="J643" s="62" t="s">
        <v>793</v>
      </c>
      <c r="K643" s="62" t="s">
        <v>129</v>
      </c>
      <c r="L643" s="72"/>
      <c r="M643" s="73"/>
      <c r="N643" s="52" t="b">
        <f t="shared" ref="N643" si="70">IF(AND($C643="Упр", $C644="1s"), D643)</f>
        <v>0</v>
      </c>
      <c r="O643" s="52" t="b">
        <f t="shared" ref="O643" si="71">IF(AND($C643="Упр", $C644="1s"), D644)</f>
        <v>0</v>
      </c>
      <c r="P643" s="52" t="b">
        <f t="shared" ref="P643:S643" si="72">IF(AND($C643="Упр", $C644="1s"), F644)</f>
        <v>0</v>
      </c>
      <c r="Q643" s="52" t="b">
        <f t="shared" si="72"/>
        <v>0</v>
      </c>
      <c r="R643" s="52" t="b">
        <f t="shared" si="72"/>
        <v>0</v>
      </c>
      <c r="S643" s="52" t="b">
        <f t="shared" si="72"/>
        <v>0</v>
      </c>
      <c r="T643" s="52" t="b">
        <f t="shared" ref="T643" si="73">IF(AND($C643="Упр", $C644="1s"), E643)</f>
        <v>0</v>
      </c>
    </row>
    <row r="644" spans="3:20" hidden="1" x14ac:dyDescent="0.2">
      <c r="D644" s="40"/>
      <c r="E644" s="41" t="s">
        <v>907</v>
      </c>
      <c r="F644" s="41"/>
      <c r="G644" s="41"/>
      <c r="H644" s="41"/>
      <c r="I644" s="41"/>
      <c r="J644" s="41"/>
      <c r="K644" s="41"/>
      <c r="L644" s="42"/>
      <c r="M644" s="42"/>
      <c r="N644" s="52" t="str">
        <f t="shared" ref="N643:N649" si="74">IF(AND(C644="Упр", C645="1С"), D644 &amp; " " &amp; E644 &amp; " " &amp; F644 &amp; " " &amp; G644 &amp; " " &amp; H644 &amp; " " &amp; I644, "")</f>
        <v/>
      </c>
    </row>
    <row r="645" spans="3:20" ht="22.5" hidden="1" x14ac:dyDescent="0.2">
      <c r="D645" s="40"/>
      <c r="E645" s="41" t="s">
        <v>908</v>
      </c>
      <c r="F645" s="41"/>
      <c r="G645" s="41"/>
      <c r="H645" s="41"/>
      <c r="I645" s="41"/>
      <c r="J645" s="41"/>
      <c r="K645" s="41"/>
      <c r="L645" s="42"/>
      <c r="M645" s="42"/>
      <c r="N645" s="52" t="str">
        <f t="shared" si="74"/>
        <v/>
      </c>
    </row>
    <row r="646" spans="3:20" hidden="1" x14ac:dyDescent="0.2">
      <c r="D646" s="40"/>
      <c r="E646" s="41" t="s">
        <v>909</v>
      </c>
      <c r="F646" s="41"/>
      <c r="G646" s="41"/>
      <c r="H646" s="41"/>
      <c r="I646" s="41"/>
      <c r="J646" s="41"/>
      <c r="K646" s="41"/>
      <c r="L646" s="42"/>
      <c r="M646" s="42"/>
      <c r="N646" s="52" t="str">
        <f t="shared" si="74"/>
        <v/>
      </c>
    </row>
    <row r="647" spans="3:20" ht="22.5" hidden="1" x14ac:dyDescent="0.2">
      <c r="D647" s="40"/>
      <c r="E647" s="41" t="s">
        <v>910</v>
      </c>
      <c r="F647" s="41"/>
      <c r="G647" s="41"/>
      <c r="H647" s="41"/>
      <c r="I647" s="41"/>
      <c r="J647" s="41"/>
      <c r="K647" s="41"/>
      <c r="L647" s="42"/>
      <c r="M647" s="42"/>
      <c r="N647" s="52" t="str">
        <f t="shared" si="74"/>
        <v/>
      </c>
    </row>
    <row r="648" spans="3:20" ht="33.75" hidden="1" x14ac:dyDescent="0.2">
      <c r="D648" s="40"/>
      <c r="E648" s="41" t="s">
        <v>911</v>
      </c>
      <c r="F648" s="41"/>
      <c r="G648" s="41"/>
      <c r="H648" s="41"/>
      <c r="I648" s="41"/>
      <c r="J648" s="41"/>
      <c r="K648" s="41"/>
      <c r="L648" s="42"/>
      <c r="M648" s="42"/>
      <c r="N648" s="52" t="str">
        <f t="shared" si="74"/>
        <v/>
      </c>
    </row>
    <row r="649" spans="3:20" ht="22.5" hidden="1" x14ac:dyDescent="0.2">
      <c r="D649" s="40"/>
      <c r="E649" s="41" t="s">
        <v>912</v>
      </c>
      <c r="F649" s="41"/>
      <c r="G649" s="41"/>
      <c r="H649" s="41"/>
      <c r="I649" s="41"/>
      <c r="J649" s="41"/>
      <c r="K649" s="41"/>
      <c r="L649" s="42"/>
      <c r="M649" s="42"/>
      <c r="N649" s="52" t="str">
        <f t="shared" si="74"/>
        <v/>
      </c>
    </row>
    <row r="650" spans="3:20" hidden="1" x14ac:dyDescent="0.2"/>
    <row r="651" spans="3:20" hidden="1" x14ac:dyDescent="0.2">
      <c r="E651" s="103" t="s">
        <v>913</v>
      </c>
    </row>
    <row r="652" spans="3:20" hidden="1" x14ac:dyDescent="0.2"/>
    <row r="653" spans="3:20" ht="12" hidden="1" thickBot="1" x14ac:dyDescent="0.25">
      <c r="D653" s="99" t="s">
        <v>914</v>
      </c>
      <c r="E653" s="100"/>
      <c r="F653" s="100"/>
      <c r="G653" s="100"/>
      <c r="H653" s="100"/>
      <c r="I653" s="100"/>
      <c r="J653" s="100"/>
      <c r="K653" s="100"/>
      <c r="L653" s="101"/>
      <c r="M653" s="102"/>
    </row>
    <row r="654" spans="3:20" hidden="1" x14ac:dyDescent="0.2"/>
    <row r="655" spans="3:20" x14ac:dyDescent="0.2">
      <c r="C655" s="56" t="s">
        <v>52</v>
      </c>
      <c r="D655" s="46"/>
      <c r="E655" s="47" t="s">
        <v>915</v>
      </c>
      <c r="F655" s="47"/>
      <c r="G655" s="47"/>
      <c r="H655" s="47"/>
      <c r="I655" s="47"/>
      <c r="J655" s="47"/>
      <c r="K655" s="47"/>
      <c r="L655" s="104"/>
      <c r="M655" s="104" t="s">
        <v>916</v>
      </c>
    </row>
    <row r="656" spans="3:20" x14ac:dyDescent="0.2">
      <c r="C656" s="56" t="s">
        <v>52</v>
      </c>
      <c r="D656" s="46"/>
      <c r="E656" s="47" t="s">
        <v>901</v>
      </c>
      <c r="F656" s="47"/>
      <c r="G656" s="47"/>
      <c r="H656" s="47"/>
      <c r="I656" s="47"/>
      <c r="J656" s="47"/>
      <c r="K656" s="47"/>
      <c r="L656" s="48"/>
      <c r="M656" s="48"/>
    </row>
    <row r="657" spans="3:13" x14ac:dyDescent="0.2">
      <c r="C657" s="56" t="s">
        <v>52</v>
      </c>
      <c r="D657" s="46"/>
      <c r="E657" s="47" t="s">
        <v>917</v>
      </c>
      <c r="F657" s="47"/>
      <c r="G657" s="47"/>
      <c r="H657" s="47"/>
      <c r="I657" s="47"/>
      <c r="J657" s="47"/>
      <c r="K657" s="47"/>
      <c r="L657" s="48"/>
      <c r="M657" s="48" t="s">
        <v>74</v>
      </c>
    </row>
    <row r="658" spans="3:13" x14ac:dyDescent="0.2">
      <c r="C658" s="56" t="s">
        <v>52</v>
      </c>
      <c r="D658" s="46"/>
      <c r="E658" s="47" t="s">
        <v>918</v>
      </c>
      <c r="F658" s="47"/>
      <c r="G658" s="47"/>
      <c r="H658" s="47"/>
      <c r="I658" s="47"/>
      <c r="J658" s="47"/>
      <c r="K658" s="47"/>
      <c r="L658" s="48"/>
      <c r="M658" s="48" t="s">
        <v>74</v>
      </c>
    </row>
    <row r="659" spans="3:13" x14ac:dyDescent="0.2">
      <c r="C659" s="56" t="s">
        <v>52</v>
      </c>
      <c r="D659" s="46"/>
      <c r="E659" s="47" t="s">
        <v>919</v>
      </c>
      <c r="F659" s="47"/>
      <c r="G659" s="47"/>
      <c r="H659" s="47"/>
      <c r="I659" s="47"/>
      <c r="J659" s="47"/>
      <c r="K659" s="47"/>
      <c r="L659" s="48"/>
      <c r="M659" s="48" t="s">
        <v>920</v>
      </c>
    </row>
    <row r="660" spans="3:13" x14ac:dyDescent="0.2">
      <c r="C660" s="56" t="s">
        <v>52</v>
      </c>
      <c r="D660" s="46"/>
      <c r="E660" s="47" t="s">
        <v>921</v>
      </c>
      <c r="F660" s="47"/>
      <c r="G660" s="47"/>
      <c r="H660" s="47"/>
      <c r="I660" s="47"/>
      <c r="J660" s="47"/>
      <c r="K660" s="47"/>
      <c r="L660" s="48"/>
      <c r="M660" s="48" t="s">
        <v>74</v>
      </c>
    </row>
    <row r="661" spans="3:13" x14ac:dyDescent="0.2">
      <c r="C661" s="56" t="s">
        <v>52</v>
      </c>
      <c r="D661" s="46"/>
      <c r="E661" s="47" t="s">
        <v>922</v>
      </c>
      <c r="F661" s="47"/>
      <c r="G661" s="47"/>
      <c r="H661" s="47"/>
      <c r="I661" s="47"/>
      <c r="J661" s="47"/>
      <c r="K661" s="47"/>
      <c r="L661" s="48"/>
      <c r="M661" s="48" t="s">
        <v>74</v>
      </c>
    </row>
    <row r="662" spans="3:13" ht="22.5" x14ac:dyDescent="0.2">
      <c r="C662" s="56" t="s">
        <v>52</v>
      </c>
      <c r="D662" s="46"/>
      <c r="E662" s="47" t="s">
        <v>923</v>
      </c>
      <c r="F662" s="47"/>
      <c r="G662" s="47"/>
      <c r="H662" s="47"/>
      <c r="I662" s="47"/>
      <c r="J662" s="47"/>
      <c r="K662" s="47"/>
      <c r="L662" s="48"/>
      <c r="M662" s="48" t="s">
        <v>74</v>
      </c>
    </row>
    <row r="663" spans="3:13" ht="22.5" x14ac:dyDescent="0.2">
      <c r="C663" s="56" t="s">
        <v>52</v>
      </c>
      <c r="D663" s="46"/>
      <c r="E663" s="47" t="s">
        <v>924</v>
      </c>
      <c r="F663" s="47"/>
      <c r="G663" s="47"/>
      <c r="H663" s="47"/>
      <c r="I663" s="47"/>
      <c r="J663" s="47"/>
      <c r="K663" s="47"/>
      <c r="L663" s="48"/>
      <c r="M663" s="48" t="s">
        <v>925</v>
      </c>
    </row>
    <row r="664" spans="3:13" x14ac:dyDescent="0.2">
      <c r="C664" s="56" t="s">
        <v>52</v>
      </c>
      <c r="D664" s="46"/>
      <c r="E664" s="47" t="s">
        <v>926</v>
      </c>
      <c r="F664" s="47"/>
      <c r="G664" s="47"/>
      <c r="H664" s="47"/>
      <c r="I664" s="47"/>
      <c r="J664" s="47"/>
      <c r="K664" s="47"/>
      <c r="L664" s="48"/>
      <c r="M664" s="48"/>
    </row>
  </sheetData>
  <autoFilter ref="A1:M664" xr:uid="{00000000-0009-0000-0000-000001000000}">
    <filterColumn colId="2">
      <customFilters>
        <customFilter operator="notEqual" val=" "/>
      </customFilters>
    </filterColumn>
  </autoFilter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B02D-C77C-4C8B-8257-CF3C55A5A7BB}">
  <dimension ref="A2:B61"/>
  <sheetViews>
    <sheetView workbookViewId="0">
      <selection sqref="A1:XFD1"/>
    </sheetView>
  </sheetViews>
  <sheetFormatPr defaultRowHeight="15" x14ac:dyDescent="0.25"/>
  <cols>
    <col min="1" max="1" width="39" bestFit="1" customWidth="1"/>
  </cols>
  <sheetData>
    <row r="2" spans="1:2" x14ac:dyDescent="0.25">
      <c r="A2" t="s">
        <v>1089</v>
      </c>
      <c r="B2">
        <v>4</v>
      </c>
    </row>
    <row r="3" spans="1:2" x14ac:dyDescent="0.25">
      <c r="A3" t="s">
        <v>1090</v>
      </c>
      <c r="B3">
        <v>5</v>
      </c>
    </row>
    <row r="4" spans="1:2" x14ac:dyDescent="0.25">
      <c r="A4" t="s">
        <v>1091</v>
      </c>
      <c r="B4">
        <v>8</v>
      </c>
    </row>
    <row r="5" spans="1:2" x14ac:dyDescent="0.25">
      <c r="A5" t="s">
        <v>1092</v>
      </c>
      <c r="B5">
        <v>9</v>
      </c>
    </row>
    <row r="6" spans="1:2" x14ac:dyDescent="0.25">
      <c r="A6" t="s">
        <v>1093</v>
      </c>
      <c r="B6">
        <v>12</v>
      </c>
    </row>
    <row r="7" spans="1:2" x14ac:dyDescent="0.25">
      <c r="A7" t="s">
        <v>1094</v>
      </c>
      <c r="B7">
        <v>14</v>
      </c>
    </row>
    <row r="8" spans="1:2" x14ac:dyDescent="0.25">
      <c r="A8" t="s">
        <v>1095</v>
      </c>
      <c r="B8">
        <v>20</v>
      </c>
    </row>
    <row r="9" spans="1:2" x14ac:dyDescent="0.25">
      <c r="A9" t="s">
        <v>1096</v>
      </c>
      <c r="B9">
        <v>21</v>
      </c>
    </row>
    <row r="10" spans="1:2" x14ac:dyDescent="0.25">
      <c r="A10" t="s">
        <v>1097</v>
      </c>
      <c r="B10">
        <v>29</v>
      </c>
    </row>
    <row r="11" spans="1:2" x14ac:dyDescent="0.25">
      <c r="A11" t="s">
        <v>1098</v>
      </c>
      <c r="B11">
        <v>30</v>
      </c>
    </row>
    <row r="12" spans="1:2" x14ac:dyDescent="0.25">
      <c r="A12" t="s">
        <v>1099</v>
      </c>
      <c r="B12">
        <v>31</v>
      </c>
    </row>
    <row r="13" spans="1:2" x14ac:dyDescent="0.25">
      <c r="A13" t="s">
        <v>1100</v>
      </c>
      <c r="B13">
        <v>34</v>
      </c>
    </row>
    <row r="14" spans="1:2" x14ac:dyDescent="0.25">
      <c r="A14" t="s">
        <v>1101</v>
      </c>
      <c r="B14">
        <v>36</v>
      </c>
    </row>
    <row r="15" spans="1:2" x14ac:dyDescent="0.25">
      <c r="A15" t="s">
        <v>1102</v>
      </c>
      <c r="B15">
        <v>37</v>
      </c>
    </row>
    <row r="16" spans="1:2" x14ac:dyDescent="0.25">
      <c r="A16" t="s">
        <v>1103</v>
      </c>
      <c r="B16">
        <v>38</v>
      </c>
    </row>
    <row r="17" spans="1:2" x14ac:dyDescent="0.25">
      <c r="A17" t="s">
        <v>1104</v>
      </c>
      <c r="B17">
        <v>39</v>
      </c>
    </row>
    <row r="18" spans="1:2" x14ac:dyDescent="0.25">
      <c r="A18" t="s">
        <v>1105</v>
      </c>
      <c r="B18">
        <v>40</v>
      </c>
    </row>
    <row r="19" spans="1:2" x14ac:dyDescent="0.25">
      <c r="A19" t="s">
        <v>1106</v>
      </c>
      <c r="B19">
        <v>45</v>
      </c>
    </row>
    <row r="20" spans="1:2" x14ac:dyDescent="0.25">
      <c r="A20" t="s">
        <v>1107</v>
      </c>
      <c r="B20">
        <v>47</v>
      </c>
    </row>
    <row r="21" spans="1:2" x14ac:dyDescent="0.25">
      <c r="A21" t="s">
        <v>1108</v>
      </c>
      <c r="B21">
        <v>49</v>
      </c>
    </row>
    <row r="22" spans="1:2" x14ac:dyDescent="0.25">
      <c r="A22" t="s">
        <v>1109</v>
      </c>
      <c r="B22">
        <v>50</v>
      </c>
    </row>
    <row r="23" spans="1:2" x14ac:dyDescent="0.25">
      <c r="A23" t="s">
        <v>1110</v>
      </c>
      <c r="B23">
        <v>51</v>
      </c>
    </row>
    <row r="24" spans="1:2" x14ac:dyDescent="0.25">
      <c r="A24" t="s">
        <v>1111</v>
      </c>
      <c r="B24">
        <v>53</v>
      </c>
    </row>
    <row r="25" spans="1:2" x14ac:dyDescent="0.25">
      <c r="A25" t="s">
        <v>1112</v>
      </c>
      <c r="B25">
        <v>55</v>
      </c>
    </row>
    <row r="26" spans="1:2" x14ac:dyDescent="0.25">
      <c r="A26" t="s">
        <v>1113</v>
      </c>
      <c r="B26">
        <v>56</v>
      </c>
    </row>
    <row r="27" spans="1:2" x14ac:dyDescent="0.25">
      <c r="A27" t="s">
        <v>1114</v>
      </c>
      <c r="B27">
        <v>57</v>
      </c>
    </row>
    <row r="28" spans="1:2" x14ac:dyDescent="0.25">
      <c r="A28" t="s">
        <v>1115</v>
      </c>
      <c r="B28">
        <v>58</v>
      </c>
    </row>
    <row r="29" spans="1:2" x14ac:dyDescent="0.25">
      <c r="A29" t="s">
        <v>1116</v>
      </c>
      <c r="B29">
        <v>59</v>
      </c>
    </row>
    <row r="30" spans="1:2" x14ac:dyDescent="0.25">
      <c r="A30" t="s">
        <v>1117</v>
      </c>
      <c r="B30">
        <v>60</v>
      </c>
    </row>
    <row r="31" spans="1:2" x14ac:dyDescent="0.25">
      <c r="A31" t="s">
        <v>1118</v>
      </c>
      <c r="B31">
        <v>61</v>
      </c>
    </row>
    <row r="32" spans="1:2" x14ac:dyDescent="0.25">
      <c r="A32" t="s">
        <v>1119</v>
      </c>
      <c r="B32">
        <v>63</v>
      </c>
    </row>
    <row r="33" spans="1:2" x14ac:dyDescent="0.25">
      <c r="A33" t="s">
        <v>1120</v>
      </c>
      <c r="B33">
        <v>64</v>
      </c>
    </row>
    <row r="34" spans="1:2" x14ac:dyDescent="0.25">
      <c r="A34" t="s">
        <v>1121</v>
      </c>
      <c r="B34">
        <v>68</v>
      </c>
    </row>
    <row r="35" spans="1:2" x14ac:dyDescent="0.25">
      <c r="A35" t="s">
        <v>1122</v>
      </c>
      <c r="B35">
        <v>69</v>
      </c>
    </row>
    <row r="36" spans="1:2" x14ac:dyDescent="0.25">
      <c r="A36" t="s">
        <v>1123</v>
      </c>
      <c r="B36">
        <v>70</v>
      </c>
    </row>
    <row r="37" spans="1:2" x14ac:dyDescent="0.25">
      <c r="A37" t="s">
        <v>1124</v>
      </c>
      <c r="B37">
        <v>71</v>
      </c>
    </row>
    <row r="38" spans="1:2" x14ac:dyDescent="0.25">
      <c r="A38" t="s">
        <v>1125</v>
      </c>
      <c r="B38">
        <v>77</v>
      </c>
    </row>
    <row r="39" spans="1:2" x14ac:dyDescent="0.25">
      <c r="A39" t="s">
        <v>1126</v>
      </c>
      <c r="B39">
        <v>83</v>
      </c>
    </row>
    <row r="40" spans="1:2" x14ac:dyDescent="0.25">
      <c r="A40" t="s">
        <v>1127</v>
      </c>
      <c r="B40">
        <v>84</v>
      </c>
    </row>
    <row r="41" spans="1:2" x14ac:dyDescent="0.25">
      <c r="A41" t="s">
        <v>1128</v>
      </c>
      <c r="B41">
        <v>86</v>
      </c>
    </row>
    <row r="42" spans="1:2" x14ac:dyDescent="0.25">
      <c r="A42" t="s">
        <v>1129</v>
      </c>
      <c r="B42">
        <v>101</v>
      </c>
    </row>
    <row r="43" spans="1:2" x14ac:dyDescent="0.25">
      <c r="A43" t="s">
        <v>1130</v>
      </c>
      <c r="B43">
        <v>103</v>
      </c>
    </row>
    <row r="44" spans="1:2" x14ac:dyDescent="0.25">
      <c r="A44" t="s">
        <v>1131</v>
      </c>
      <c r="B44">
        <v>107</v>
      </c>
    </row>
    <row r="45" spans="1:2" x14ac:dyDescent="0.25">
      <c r="A45" t="s">
        <v>1132</v>
      </c>
      <c r="B45">
        <v>109</v>
      </c>
    </row>
    <row r="46" spans="1:2" x14ac:dyDescent="0.25">
      <c r="A46" t="s">
        <v>1133</v>
      </c>
      <c r="B46">
        <v>115</v>
      </c>
    </row>
    <row r="47" spans="1:2" x14ac:dyDescent="0.25">
      <c r="A47" t="s">
        <v>1134</v>
      </c>
      <c r="B47">
        <v>117</v>
      </c>
    </row>
    <row r="48" spans="1:2" x14ac:dyDescent="0.25">
      <c r="A48" t="s">
        <v>1135</v>
      </c>
      <c r="B48">
        <v>119</v>
      </c>
    </row>
    <row r="49" spans="1:2" x14ac:dyDescent="0.25">
      <c r="A49" t="s">
        <v>1136</v>
      </c>
      <c r="B49">
        <v>121</v>
      </c>
    </row>
    <row r="50" spans="1:2" x14ac:dyDescent="0.25">
      <c r="A50" t="s">
        <v>1137</v>
      </c>
      <c r="B50">
        <v>123</v>
      </c>
    </row>
    <row r="51" spans="1:2" x14ac:dyDescent="0.25">
      <c r="A51" t="s">
        <v>1138</v>
      </c>
      <c r="B51">
        <v>125</v>
      </c>
    </row>
    <row r="52" spans="1:2" x14ac:dyDescent="0.25">
      <c r="A52" t="s">
        <v>1139</v>
      </c>
      <c r="B52">
        <v>126</v>
      </c>
    </row>
    <row r="53" spans="1:2" x14ac:dyDescent="0.25">
      <c r="A53" t="s">
        <v>1140</v>
      </c>
      <c r="B53">
        <v>127</v>
      </c>
    </row>
    <row r="54" spans="1:2" x14ac:dyDescent="0.25">
      <c r="A54" t="s">
        <v>1141</v>
      </c>
      <c r="B54">
        <v>129</v>
      </c>
    </row>
    <row r="55" spans="1:2" x14ac:dyDescent="0.25">
      <c r="A55" t="s">
        <v>1142</v>
      </c>
      <c r="B55">
        <v>130</v>
      </c>
    </row>
    <row r="56" spans="1:2" x14ac:dyDescent="0.25">
      <c r="A56" t="s">
        <v>1143</v>
      </c>
      <c r="B56">
        <v>131</v>
      </c>
    </row>
    <row r="57" spans="1:2" x14ac:dyDescent="0.25">
      <c r="A57" t="s">
        <v>1144</v>
      </c>
      <c r="B57">
        <v>134</v>
      </c>
    </row>
    <row r="58" spans="1:2" x14ac:dyDescent="0.25">
      <c r="A58" t="s">
        <v>1145</v>
      </c>
      <c r="B58">
        <v>136</v>
      </c>
    </row>
    <row r="59" spans="1:2" x14ac:dyDescent="0.25">
      <c r="A59" t="s">
        <v>1146</v>
      </c>
      <c r="B59">
        <v>137</v>
      </c>
    </row>
    <row r="60" spans="1:2" x14ac:dyDescent="0.25">
      <c r="A60" t="s">
        <v>1147</v>
      </c>
      <c r="B60">
        <v>139</v>
      </c>
    </row>
    <row r="61" spans="1:2" x14ac:dyDescent="0.25">
      <c r="A61" t="s">
        <v>1148</v>
      </c>
      <c r="B61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93E0-C147-46A6-94F9-5E9E6DFE91DC}">
  <dimension ref="A1:B502"/>
  <sheetViews>
    <sheetView workbookViewId="0">
      <selection activeCell="C27" sqref="C27"/>
    </sheetView>
  </sheetViews>
  <sheetFormatPr defaultRowHeight="15" x14ac:dyDescent="0.25"/>
  <cols>
    <col min="1" max="1" width="39.85546875" bestFit="1" customWidth="1"/>
  </cols>
  <sheetData>
    <row r="1" spans="1:2" x14ac:dyDescent="0.25">
      <c r="A1" t="s">
        <v>1149</v>
      </c>
      <c r="B1" s="271" t="s">
        <v>1652</v>
      </c>
    </row>
    <row r="2" spans="1:2" x14ac:dyDescent="0.25">
      <c r="A2" t="s">
        <v>1150</v>
      </c>
      <c r="B2" s="271" t="s">
        <v>1653</v>
      </c>
    </row>
    <row r="3" spans="1:2" x14ac:dyDescent="0.25">
      <c r="A3" t="s">
        <v>1151</v>
      </c>
      <c r="B3" s="271" t="s">
        <v>1654</v>
      </c>
    </row>
    <row r="4" spans="1:2" x14ac:dyDescent="0.25">
      <c r="A4" t="s">
        <v>1152</v>
      </c>
      <c r="B4" s="271" t="s">
        <v>1655</v>
      </c>
    </row>
    <row r="5" spans="1:2" x14ac:dyDescent="0.25">
      <c r="A5" t="s">
        <v>1153</v>
      </c>
      <c r="B5" s="271" t="s">
        <v>1656</v>
      </c>
    </row>
    <row r="6" spans="1:2" x14ac:dyDescent="0.25">
      <c r="A6" t="s">
        <v>1154</v>
      </c>
      <c r="B6" s="271" t="s">
        <v>1657</v>
      </c>
    </row>
    <row r="7" spans="1:2" x14ac:dyDescent="0.25">
      <c r="A7" t="s">
        <v>1155</v>
      </c>
      <c r="B7" s="271" t="s">
        <v>1658</v>
      </c>
    </row>
    <row r="8" spans="1:2" x14ac:dyDescent="0.25">
      <c r="A8" t="s">
        <v>1156</v>
      </c>
      <c r="B8" s="271" t="s">
        <v>1659</v>
      </c>
    </row>
    <row r="9" spans="1:2" x14ac:dyDescent="0.25">
      <c r="A9" t="s">
        <v>1157</v>
      </c>
      <c r="B9" s="271" t="s">
        <v>1660</v>
      </c>
    </row>
    <row r="10" spans="1:2" x14ac:dyDescent="0.25">
      <c r="A10" t="s">
        <v>1158</v>
      </c>
      <c r="B10" s="271" t="s">
        <v>1661</v>
      </c>
    </row>
    <row r="11" spans="1:2" x14ac:dyDescent="0.25">
      <c r="A11" t="s">
        <v>1159</v>
      </c>
      <c r="B11" s="271" t="s">
        <v>1662</v>
      </c>
    </row>
    <row r="12" spans="1:2" x14ac:dyDescent="0.25">
      <c r="A12" t="s">
        <v>1160</v>
      </c>
      <c r="B12" s="271" t="s">
        <v>1663</v>
      </c>
    </row>
    <row r="13" spans="1:2" x14ac:dyDescent="0.25">
      <c r="A13" t="s">
        <v>1161</v>
      </c>
      <c r="B13" s="271" t="s">
        <v>1664</v>
      </c>
    </row>
    <row r="14" spans="1:2" x14ac:dyDescent="0.25">
      <c r="A14" t="s">
        <v>1162</v>
      </c>
      <c r="B14" s="271" t="s">
        <v>1665</v>
      </c>
    </row>
    <row r="15" spans="1:2" x14ac:dyDescent="0.25">
      <c r="A15" t="s">
        <v>1163</v>
      </c>
      <c r="B15" s="271" t="s">
        <v>1666</v>
      </c>
    </row>
    <row r="16" spans="1:2" x14ac:dyDescent="0.25">
      <c r="A16" t="s">
        <v>1164</v>
      </c>
      <c r="B16" s="271" t="s">
        <v>1667</v>
      </c>
    </row>
    <row r="17" spans="1:2" x14ac:dyDescent="0.25">
      <c r="A17" t="s">
        <v>1165</v>
      </c>
      <c r="B17" s="271" t="s">
        <v>1668</v>
      </c>
    </row>
    <row r="18" spans="1:2" x14ac:dyDescent="0.25">
      <c r="A18" t="s">
        <v>1166</v>
      </c>
      <c r="B18" s="271" t="s">
        <v>1669</v>
      </c>
    </row>
    <row r="19" spans="1:2" x14ac:dyDescent="0.25">
      <c r="A19" t="s">
        <v>1167</v>
      </c>
      <c r="B19" s="271" t="s">
        <v>1670</v>
      </c>
    </row>
    <row r="20" spans="1:2" x14ac:dyDescent="0.25">
      <c r="A20" t="s">
        <v>1168</v>
      </c>
      <c r="B20" s="271" t="s">
        <v>1671</v>
      </c>
    </row>
    <row r="21" spans="1:2" x14ac:dyDescent="0.25">
      <c r="A21" t="s">
        <v>1169</v>
      </c>
      <c r="B21" s="271" t="s">
        <v>1672</v>
      </c>
    </row>
    <row r="22" spans="1:2" x14ac:dyDescent="0.25">
      <c r="A22" t="s">
        <v>1170</v>
      </c>
      <c r="B22" s="271" t="s">
        <v>1673</v>
      </c>
    </row>
    <row r="23" spans="1:2" x14ac:dyDescent="0.25">
      <c r="A23" t="s">
        <v>1171</v>
      </c>
      <c r="B23" s="271" t="s">
        <v>1674</v>
      </c>
    </row>
    <row r="24" spans="1:2" x14ac:dyDescent="0.25">
      <c r="A24" t="s">
        <v>1172</v>
      </c>
      <c r="B24" s="271" t="s">
        <v>1675</v>
      </c>
    </row>
    <row r="25" spans="1:2" x14ac:dyDescent="0.25">
      <c r="A25" t="s">
        <v>1173</v>
      </c>
      <c r="B25" s="271" t="s">
        <v>1676</v>
      </c>
    </row>
    <row r="26" spans="1:2" x14ac:dyDescent="0.25">
      <c r="A26" t="s">
        <v>1174</v>
      </c>
      <c r="B26" s="271" t="s">
        <v>1677</v>
      </c>
    </row>
    <row r="27" spans="1:2" x14ac:dyDescent="0.25">
      <c r="A27" t="s">
        <v>1175</v>
      </c>
      <c r="B27" s="271" t="s">
        <v>1678</v>
      </c>
    </row>
    <row r="28" spans="1:2" x14ac:dyDescent="0.25">
      <c r="A28" t="s">
        <v>1176</v>
      </c>
      <c r="B28" s="271" t="s">
        <v>1679</v>
      </c>
    </row>
    <row r="29" spans="1:2" x14ac:dyDescent="0.25">
      <c r="A29" t="s">
        <v>1177</v>
      </c>
      <c r="B29" s="271" t="s">
        <v>1680</v>
      </c>
    </row>
    <row r="30" spans="1:2" x14ac:dyDescent="0.25">
      <c r="A30" t="s">
        <v>1178</v>
      </c>
      <c r="B30" s="271" t="s">
        <v>1681</v>
      </c>
    </row>
    <row r="31" spans="1:2" x14ac:dyDescent="0.25">
      <c r="A31" t="s">
        <v>1179</v>
      </c>
      <c r="B31" s="271" t="s">
        <v>1682</v>
      </c>
    </row>
    <row r="32" spans="1:2" x14ac:dyDescent="0.25">
      <c r="A32" t="s">
        <v>1180</v>
      </c>
      <c r="B32" s="271" t="s">
        <v>1683</v>
      </c>
    </row>
    <row r="33" spans="1:2" x14ac:dyDescent="0.25">
      <c r="A33" t="s">
        <v>1181</v>
      </c>
      <c r="B33" s="271" t="s">
        <v>1684</v>
      </c>
    </row>
    <row r="34" spans="1:2" x14ac:dyDescent="0.25">
      <c r="A34" t="s">
        <v>1182</v>
      </c>
      <c r="B34" s="271" t="s">
        <v>1685</v>
      </c>
    </row>
    <row r="35" spans="1:2" x14ac:dyDescent="0.25">
      <c r="A35" t="s">
        <v>1183</v>
      </c>
      <c r="B35" s="271" t="s">
        <v>1686</v>
      </c>
    </row>
    <row r="36" spans="1:2" x14ac:dyDescent="0.25">
      <c r="A36" t="s">
        <v>1184</v>
      </c>
      <c r="B36" s="271" t="s">
        <v>1687</v>
      </c>
    </row>
    <row r="37" spans="1:2" x14ac:dyDescent="0.25">
      <c r="A37" t="s">
        <v>1185</v>
      </c>
      <c r="B37" s="271" t="s">
        <v>1688</v>
      </c>
    </row>
    <row r="38" spans="1:2" x14ac:dyDescent="0.25">
      <c r="A38" t="s">
        <v>1186</v>
      </c>
      <c r="B38" s="271" t="s">
        <v>1689</v>
      </c>
    </row>
    <row r="39" spans="1:2" x14ac:dyDescent="0.25">
      <c r="A39" t="s">
        <v>1187</v>
      </c>
      <c r="B39" s="271" t="s">
        <v>1690</v>
      </c>
    </row>
    <row r="40" spans="1:2" x14ac:dyDescent="0.25">
      <c r="A40" t="s">
        <v>1188</v>
      </c>
      <c r="B40" s="271" t="s">
        <v>1691</v>
      </c>
    </row>
    <row r="41" spans="1:2" x14ac:dyDescent="0.25">
      <c r="A41" t="s">
        <v>1189</v>
      </c>
      <c r="B41" s="271" t="s">
        <v>1692</v>
      </c>
    </row>
    <row r="42" spans="1:2" x14ac:dyDescent="0.25">
      <c r="A42" t="s">
        <v>1190</v>
      </c>
      <c r="B42" s="271" t="s">
        <v>1693</v>
      </c>
    </row>
    <row r="43" spans="1:2" x14ac:dyDescent="0.25">
      <c r="A43" t="s">
        <v>1191</v>
      </c>
      <c r="B43" s="271" t="s">
        <v>1694</v>
      </c>
    </row>
    <row r="44" spans="1:2" x14ac:dyDescent="0.25">
      <c r="A44" t="s">
        <v>1192</v>
      </c>
      <c r="B44" s="271" t="s">
        <v>1695</v>
      </c>
    </row>
    <row r="45" spans="1:2" x14ac:dyDescent="0.25">
      <c r="A45" t="s">
        <v>1193</v>
      </c>
      <c r="B45" s="271" t="s">
        <v>1696</v>
      </c>
    </row>
    <row r="46" spans="1:2" x14ac:dyDescent="0.25">
      <c r="A46" t="s">
        <v>1194</v>
      </c>
      <c r="B46" s="271" t="s">
        <v>1697</v>
      </c>
    </row>
    <row r="47" spans="1:2" x14ac:dyDescent="0.25">
      <c r="A47" t="s">
        <v>1195</v>
      </c>
      <c r="B47" s="271" t="s">
        <v>1698</v>
      </c>
    </row>
    <row r="48" spans="1:2" x14ac:dyDescent="0.25">
      <c r="A48" t="s">
        <v>1196</v>
      </c>
      <c r="B48" s="271" t="s">
        <v>1699</v>
      </c>
    </row>
    <row r="49" spans="1:2" x14ac:dyDescent="0.25">
      <c r="A49" t="s">
        <v>1197</v>
      </c>
      <c r="B49" s="271" t="s">
        <v>1700</v>
      </c>
    </row>
    <row r="50" spans="1:2" x14ac:dyDescent="0.25">
      <c r="A50" t="s">
        <v>1198</v>
      </c>
      <c r="B50" s="271" t="s">
        <v>1701</v>
      </c>
    </row>
    <row r="51" spans="1:2" x14ac:dyDescent="0.25">
      <c r="A51" t="s">
        <v>1199</v>
      </c>
      <c r="B51" s="271" t="s">
        <v>1702</v>
      </c>
    </row>
    <row r="52" spans="1:2" x14ac:dyDescent="0.25">
      <c r="A52" t="s">
        <v>1200</v>
      </c>
      <c r="B52" s="271" t="s">
        <v>1703</v>
      </c>
    </row>
    <row r="53" spans="1:2" x14ac:dyDescent="0.25">
      <c r="A53" t="s">
        <v>1201</v>
      </c>
      <c r="B53" s="271" t="s">
        <v>1704</v>
      </c>
    </row>
    <row r="54" spans="1:2" x14ac:dyDescent="0.25">
      <c r="A54" t="s">
        <v>1202</v>
      </c>
      <c r="B54" s="271" t="s">
        <v>1705</v>
      </c>
    </row>
    <row r="55" spans="1:2" x14ac:dyDescent="0.25">
      <c r="A55" t="s">
        <v>1203</v>
      </c>
      <c r="B55" s="271" t="s">
        <v>1706</v>
      </c>
    </row>
    <row r="56" spans="1:2" x14ac:dyDescent="0.25">
      <c r="A56" t="s">
        <v>1204</v>
      </c>
      <c r="B56" s="271" t="s">
        <v>1707</v>
      </c>
    </row>
    <row r="57" spans="1:2" x14ac:dyDescent="0.25">
      <c r="A57" t="s">
        <v>1205</v>
      </c>
      <c r="B57" s="271" t="s">
        <v>1708</v>
      </c>
    </row>
    <row r="58" spans="1:2" x14ac:dyDescent="0.25">
      <c r="A58" t="s">
        <v>1206</v>
      </c>
      <c r="B58" s="271" t="s">
        <v>1709</v>
      </c>
    </row>
    <row r="59" spans="1:2" x14ac:dyDescent="0.25">
      <c r="A59" t="s">
        <v>1207</v>
      </c>
      <c r="B59" s="271" t="s">
        <v>1710</v>
      </c>
    </row>
    <row r="60" spans="1:2" x14ac:dyDescent="0.25">
      <c r="A60" t="s">
        <v>1208</v>
      </c>
      <c r="B60" s="271" t="s">
        <v>1711</v>
      </c>
    </row>
    <row r="61" spans="1:2" x14ac:dyDescent="0.25">
      <c r="A61" t="s">
        <v>1209</v>
      </c>
      <c r="B61" s="271" t="s">
        <v>1712</v>
      </c>
    </row>
    <row r="62" spans="1:2" x14ac:dyDescent="0.25">
      <c r="A62" t="s">
        <v>1210</v>
      </c>
      <c r="B62" s="271" t="s">
        <v>1713</v>
      </c>
    </row>
    <row r="63" spans="1:2" x14ac:dyDescent="0.25">
      <c r="A63" t="s">
        <v>1211</v>
      </c>
      <c r="B63" s="271" t="s">
        <v>1714</v>
      </c>
    </row>
    <row r="64" spans="1:2" x14ac:dyDescent="0.25">
      <c r="A64" t="s">
        <v>1212</v>
      </c>
      <c r="B64" s="271" t="s">
        <v>1715</v>
      </c>
    </row>
    <row r="65" spans="1:2" x14ac:dyDescent="0.25">
      <c r="A65" t="s">
        <v>1213</v>
      </c>
      <c r="B65" s="271" t="s">
        <v>1716</v>
      </c>
    </row>
    <row r="66" spans="1:2" x14ac:dyDescent="0.25">
      <c r="A66" t="s">
        <v>1214</v>
      </c>
      <c r="B66" s="271" t="s">
        <v>1717</v>
      </c>
    </row>
    <row r="67" spans="1:2" x14ac:dyDescent="0.25">
      <c r="A67" t="s">
        <v>1215</v>
      </c>
      <c r="B67" s="271" t="s">
        <v>1718</v>
      </c>
    </row>
    <row r="68" spans="1:2" x14ac:dyDescent="0.25">
      <c r="A68" t="s">
        <v>1216</v>
      </c>
      <c r="B68" s="271" t="s">
        <v>1719</v>
      </c>
    </row>
    <row r="69" spans="1:2" x14ac:dyDescent="0.25">
      <c r="A69" t="s">
        <v>1217</v>
      </c>
      <c r="B69" s="271" t="s">
        <v>1720</v>
      </c>
    </row>
    <row r="70" spans="1:2" x14ac:dyDescent="0.25">
      <c r="A70" t="s">
        <v>1218</v>
      </c>
      <c r="B70" s="271" t="s">
        <v>1721</v>
      </c>
    </row>
    <row r="71" spans="1:2" x14ac:dyDescent="0.25">
      <c r="A71" t="s">
        <v>1219</v>
      </c>
      <c r="B71" s="271" t="s">
        <v>1722</v>
      </c>
    </row>
    <row r="72" spans="1:2" x14ac:dyDescent="0.25">
      <c r="A72" t="s">
        <v>1220</v>
      </c>
      <c r="B72" s="271" t="s">
        <v>1723</v>
      </c>
    </row>
    <row r="73" spans="1:2" x14ac:dyDescent="0.25">
      <c r="A73" t="s">
        <v>1221</v>
      </c>
      <c r="B73" s="271" t="s">
        <v>1724</v>
      </c>
    </row>
    <row r="74" spans="1:2" x14ac:dyDescent="0.25">
      <c r="A74" t="s">
        <v>1222</v>
      </c>
      <c r="B74" s="271" t="s">
        <v>1725</v>
      </c>
    </row>
    <row r="75" spans="1:2" x14ac:dyDescent="0.25">
      <c r="A75" t="s">
        <v>1223</v>
      </c>
      <c r="B75" s="271" t="s">
        <v>1726</v>
      </c>
    </row>
    <row r="76" spans="1:2" x14ac:dyDescent="0.25">
      <c r="A76" t="s">
        <v>1224</v>
      </c>
      <c r="B76" s="271" t="s">
        <v>1727</v>
      </c>
    </row>
    <row r="77" spans="1:2" x14ac:dyDescent="0.25">
      <c r="A77" t="s">
        <v>1225</v>
      </c>
      <c r="B77" s="271" t="s">
        <v>1728</v>
      </c>
    </row>
    <row r="78" spans="1:2" x14ac:dyDescent="0.25">
      <c r="A78" t="s">
        <v>1226</v>
      </c>
      <c r="B78" s="271" t="s">
        <v>1729</v>
      </c>
    </row>
    <row r="79" spans="1:2" x14ac:dyDescent="0.25">
      <c r="A79" t="s">
        <v>1227</v>
      </c>
      <c r="B79" s="271" t="s">
        <v>1730</v>
      </c>
    </row>
    <row r="80" spans="1:2" x14ac:dyDescent="0.25">
      <c r="A80" t="s">
        <v>1228</v>
      </c>
      <c r="B80" s="271" t="s">
        <v>1731</v>
      </c>
    </row>
    <row r="81" spans="1:2" x14ac:dyDescent="0.25">
      <c r="A81" t="s">
        <v>1229</v>
      </c>
      <c r="B81" s="271" t="s">
        <v>1732</v>
      </c>
    </row>
    <row r="82" spans="1:2" x14ac:dyDescent="0.25">
      <c r="A82" t="s">
        <v>1230</v>
      </c>
      <c r="B82" s="271" t="s">
        <v>1733</v>
      </c>
    </row>
    <row r="83" spans="1:2" x14ac:dyDescent="0.25">
      <c r="A83" t="s">
        <v>1231</v>
      </c>
      <c r="B83" s="271" t="s">
        <v>1734</v>
      </c>
    </row>
    <row r="84" spans="1:2" x14ac:dyDescent="0.25">
      <c r="A84" t="s">
        <v>1232</v>
      </c>
      <c r="B84" s="271" t="s">
        <v>1735</v>
      </c>
    </row>
    <row r="85" spans="1:2" x14ac:dyDescent="0.25">
      <c r="A85" t="s">
        <v>1233</v>
      </c>
      <c r="B85" s="271" t="s">
        <v>1736</v>
      </c>
    </row>
    <row r="86" spans="1:2" x14ac:dyDescent="0.25">
      <c r="A86" t="s">
        <v>1234</v>
      </c>
      <c r="B86" s="271" t="s">
        <v>1737</v>
      </c>
    </row>
    <row r="87" spans="1:2" x14ac:dyDescent="0.25">
      <c r="A87" t="s">
        <v>1235</v>
      </c>
      <c r="B87" s="271" t="s">
        <v>1738</v>
      </c>
    </row>
    <row r="88" spans="1:2" x14ac:dyDescent="0.25">
      <c r="A88" t="s">
        <v>1236</v>
      </c>
      <c r="B88" s="271" t="s">
        <v>1739</v>
      </c>
    </row>
    <row r="89" spans="1:2" x14ac:dyDescent="0.25">
      <c r="A89" t="s">
        <v>1237</v>
      </c>
      <c r="B89" s="271" t="s">
        <v>1740</v>
      </c>
    </row>
    <row r="90" spans="1:2" x14ac:dyDescent="0.25">
      <c r="A90" t="s">
        <v>1238</v>
      </c>
      <c r="B90" s="271" t="s">
        <v>1741</v>
      </c>
    </row>
    <row r="91" spans="1:2" x14ac:dyDescent="0.25">
      <c r="A91" t="s">
        <v>1239</v>
      </c>
      <c r="B91" s="271" t="s">
        <v>1742</v>
      </c>
    </row>
    <row r="92" spans="1:2" x14ac:dyDescent="0.25">
      <c r="A92" t="s">
        <v>1240</v>
      </c>
      <c r="B92" s="271" t="s">
        <v>1743</v>
      </c>
    </row>
    <row r="93" spans="1:2" x14ac:dyDescent="0.25">
      <c r="A93" t="s">
        <v>1241</v>
      </c>
      <c r="B93" s="271" t="s">
        <v>1744</v>
      </c>
    </row>
    <row r="94" spans="1:2" x14ac:dyDescent="0.25">
      <c r="A94" t="s">
        <v>1242</v>
      </c>
      <c r="B94" s="271" t="s">
        <v>1745</v>
      </c>
    </row>
    <row r="95" spans="1:2" x14ac:dyDescent="0.25">
      <c r="A95" t="s">
        <v>1243</v>
      </c>
      <c r="B95" s="271" t="s">
        <v>1746</v>
      </c>
    </row>
    <row r="96" spans="1:2" x14ac:dyDescent="0.25">
      <c r="A96" t="s">
        <v>1244</v>
      </c>
      <c r="B96" s="271" t="s">
        <v>1747</v>
      </c>
    </row>
    <row r="97" spans="1:2" x14ac:dyDescent="0.25">
      <c r="A97" t="s">
        <v>1245</v>
      </c>
      <c r="B97" s="271" t="s">
        <v>1748</v>
      </c>
    </row>
    <row r="98" spans="1:2" x14ac:dyDescent="0.25">
      <c r="A98" t="s">
        <v>1246</v>
      </c>
      <c r="B98" s="271" t="s">
        <v>1749</v>
      </c>
    </row>
    <row r="99" spans="1:2" x14ac:dyDescent="0.25">
      <c r="A99" t="s">
        <v>1247</v>
      </c>
      <c r="B99" s="271" t="s">
        <v>1750</v>
      </c>
    </row>
    <row r="100" spans="1:2" x14ac:dyDescent="0.25">
      <c r="A100" t="s">
        <v>1248</v>
      </c>
      <c r="B100" s="271" t="s">
        <v>1751</v>
      </c>
    </row>
    <row r="101" spans="1:2" x14ac:dyDescent="0.25">
      <c r="A101" t="s">
        <v>1249</v>
      </c>
      <c r="B101" s="271" t="s">
        <v>1752</v>
      </c>
    </row>
    <row r="102" spans="1:2" x14ac:dyDescent="0.25">
      <c r="A102" t="s">
        <v>1250</v>
      </c>
      <c r="B102" s="271" t="s">
        <v>1753</v>
      </c>
    </row>
    <row r="103" spans="1:2" x14ac:dyDescent="0.25">
      <c r="A103" t="s">
        <v>1251</v>
      </c>
      <c r="B103" s="271" t="s">
        <v>1754</v>
      </c>
    </row>
    <row r="104" spans="1:2" x14ac:dyDescent="0.25">
      <c r="A104" t="s">
        <v>1252</v>
      </c>
      <c r="B104" s="271" t="s">
        <v>1755</v>
      </c>
    </row>
    <row r="105" spans="1:2" x14ac:dyDescent="0.25">
      <c r="A105" t="s">
        <v>1253</v>
      </c>
      <c r="B105" s="271" t="s">
        <v>1756</v>
      </c>
    </row>
    <row r="106" spans="1:2" x14ac:dyDescent="0.25">
      <c r="A106" t="s">
        <v>1254</v>
      </c>
      <c r="B106" s="271" t="s">
        <v>1757</v>
      </c>
    </row>
    <row r="107" spans="1:2" x14ac:dyDescent="0.25">
      <c r="A107" t="s">
        <v>1255</v>
      </c>
      <c r="B107" s="271" t="s">
        <v>1758</v>
      </c>
    </row>
    <row r="108" spans="1:2" x14ac:dyDescent="0.25">
      <c r="A108" t="s">
        <v>1256</v>
      </c>
      <c r="B108" s="271" t="s">
        <v>1759</v>
      </c>
    </row>
    <row r="109" spans="1:2" x14ac:dyDescent="0.25">
      <c r="A109" t="s">
        <v>1257</v>
      </c>
      <c r="B109" s="271" t="s">
        <v>1760</v>
      </c>
    </row>
    <row r="110" spans="1:2" x14ac:dyDescent="0.25">
      <c r="A110" t="s">
        <v>1258</v>
      </c>
      <c r="B110" s="271" t="s">
        <v>1761</v>
      </c>
    </row>
    <row r="111" spans="1:2" x14ac:dyDescent="0.25">
      <c r="A111" t="s">
        <v>1259</v>
      </c>
      <c r="B111" s="271" t="s">
        <v>1762</v>
      </c>
    </row>
    <row r="112" spans="1:2" x14ac:dyDescent="0.25">
      <c r="A112" t="s">
        <v>1260</v>
      </c>
      <c r="B112" s="271" t="s">
        <v>1763</v>
      </c>
    </row>
    <row r="113" spans="1:2" x14ac:dyDescent="0.25">
      <c r="A113" t="s">
        <v>1261</v>
      </c>
      <c r="B113" s="271" t="s">
        <v>1764</v>
      </c>
    </row>
    <row r="114" spans="1:2" x14ac:dyDescent="0.25">
      <c r="A114" t="s">
        <v>1262</v>
      </c>
      <c r="B114" s="271" t="s">
        <v>1765</v>
      </c>
    </row>
    <row r="115" spans="1:2" x14ac:dyDescent="0.25">
      <c r="A115" t="s">
        <v>1263</v>
      </c>
      <c r="B115" s="271" t="s">
        <v>1766</v>
      </c>
    </row>
    <row r="116" spans="1:2" x14ac:dyDescent="0.25">
      <c r="A116" t="s">
        <v>1264</v>
      </c>
      <c r="B116" s="271" t="s">
        <v>1767</v>
      </c>
    </row>
    <row r="117" spans="1:2" x14ac:dyDescent="0.25">
      <c r="A117" t="s">
        <v>1265</v>
      </c>
      <c r="B117" s="271" t="s">
        <v>1768</v>
      </c>
    </row>
    <row r="118" spans="1:2" x14ac:dyDescent="0.25">
      <c r="A118" t="s">
        <v>1266</v>
      </c>
      <c r="B118" s="271" t="s">
        <v>1769</v>
      </c>
    </row>
    <row r="119" spans="1:2" x14ac:dyDescent="0.25">
      <c r="A119" t="s">
        <v>1267</v>
      </c>
      <c r="B119" s="271" t="s">
        <v>1770</v>
      </c>
    </row>
    <row r="120" spans="1:2" x14ac:dyDescent="0.25">
      <c r="A120" t="s">
        <v>1268</v>
      </c>
      <c r="B120" s="271" t="s">
        <v>1771</v>
      </c>
    </row>
    <row r="121" spans="1:2" x14ac:dyDescent="0.25">
      <c r="A121" t="s">
        <v>1269</v>
      </c>
      <c r="B121" s="271" t="s">
        <v>1772</v>
      </c>
    </row>
    <row r="122" spans="1:2" x14ac:dyDescent="0.25">
      <c r="A122" t="s">
        <v>1270</v>
      </c>
      <c r="B122" s="271" t="s">
        <v>1773</v>
      </c>
    </row>
    <row r="123" spans="1:2" x14ac:dyDescent="0.25">
      <c r="A123" t="s">
        <v>1271</v>
      </c>
      <c r="B123" s="271" t="s">
        <v>1774</v>
      </c>
    </row>
    <row r="124" spans="1:2" x14ac:dyDescent="0.25">
      <c r="A124" t="s">
        <v>1272</v>
      </c>
      <c r="B124" s="271" t="s">
        <v>1775</v>
      </c>
    </row>
    <row r="125" spans="1:2" x14ac:dyDescent="0.25">
      <c r="A125" t="s">
        <v>1273</v>
      </c>
      <c r="B125" s="271" t="s">
        <v>1776</v>
      </c>
    </row>
    <row r="126" spans="1:2" x14ac:dyDescent="0.25">
      <c r="A126" t="s">
        <v>1274</v>
      </c>
      <c r="B126" s="271" t="s">
        <v>1777</v>
      </c>
    </row>
    <row r="127" spans="1:2" x14ac:dyDescent="0.25">
      <c r="A127" t="s">
        <v>1275</v>
      </c>
      <c r="B127" s="271" t="s">
        <v>1778</v>
      </c>
    </row>
    <row r="128" spans="1:2" x14ac:dyDescent="0.25">
      <c r="A128" t="s">
        <v>1276</v>
      </c>
      <c r="B128" s="271" t="s">
        <v>1779</v>
      </c>
    </row>
    <row r="129" spans="1:2" x14ac:dyDescent="0.25">
      <c r="A129" t="s">
        <v>1277</v>
      </c>
      <c r="B129" s="271" t="s">
        <v>1780</v>
      </c>
    </row>
    <row r="130" spans="1:2" x14ac:dyDescent="0.25">
      <c r="A130" t="s">
        <v>1278</v>
      </c>
      <c r="B130" s="271" t="s">
        <v>1781</v>
      </c>
    </row>
    <row r="131" spans="1:2" x14ac:dyDescent="0.25">
      <c r="A131" t="s">
        <v>1279</v>
      </c>
      <c r="B131" s="271" t="s">
        <v>1782</v>
      </c>
    </row>
    <row r="132" spans="1:2" x14ac:dyDescent="0.25">
      <c r="A132" t="s">
        <v>1280</v>
      </c>
      <c r="B132" s="271" t="s">
        <v>1783</v>
      </c>
    </row>
    <row r="133" spans="1:2" x14ac:dyDescent="0.25">
      <c r="A133" t="s">
        <v>1281</v>
      </c>
      <c r="B133" s="271" t="s">
        <v>1784</v>
      </c>
    </row>
    <row r="134" spans="1:2" x14ac:dyDescent="0.25">
      <c r="A134" t="s">
        <v>1282</v>
      </c>
      <c r="B134" s="271" t="s">
        <v>1785</v>
      </c>
    </row>
    <row r="135" spans="1:2" x14ac:dyDescent="0.25">
      <c r="A135" t="s">
        <v>1283</v>
      </c>
      <c r="B135" s="271" t="s">
        <v>1786</v>
      </c>
    </row>
    <row r="136" spans="1:2" x14ac:dyDescent="0.25">
      <c r="A136" t="s">
        <v>1284</v>
      </c>
      <c r="B136" s="271" t="s">
        <v>1787</v>
      </c>
    </row>
    <row r="137" spans="1:2" x14ac:dyDescent="0.25">
      <c r="A137" t="s">
        <v>1285</v>
      </c>
      <c r="B137" s="271" t="s">
        <v>1788</v>
      </c>
    </row>
    <row r="138" spans="1:2" x14ac:dyDescent="0.25">
      <c r="A138" t="s">
        <v>1286</v>
      </c>
      <c r="B138" s="271" t="s">
        <v>1789</v>
      </c>
    </row>
    <row r="139" spans="1:2" x14ac:dyDescent="0.25">
      <c r="A139" t="s">
        <v>1287</v>
      </c>
      <c r="B139" s="271" t="s">
        <v>1790</v>
      </c>
    </row>
    <row r="140" spans="1:2" x14ac:dyDescent="0.25">
      <c r="A140" t="s">
        <v>1288</v>
      </c>
      <c r="B140" s="271" t="s">
        <v>1791</v>
      </c>
    </row>
    <row r="141" spans="1:2" x14ac:dyDescent="0.25">
      <c r="A141" t="s">
        <v>1289</v>
      </c>
      <c r="B141" s="271" t="s">
        <v>1792</v>
      </c>
    </row>
    <row r="142" spans="1:2" x14ac:dyDescent="0.25">
      <c r="A142" t="s">
        <v>1290</v>
      </c>
      <c r="B142" s="271" t="s">
        <v>1793</v>
      </c>
    </row>
    <row r="143" spans="1:2" x14ac:dyDescent="0.25">
      <c r="A143" t="s">
        <v>1291</v>
      </c>
      <c r="B143" s="271" t="s">
        <v>1794</v>
      </c>
    </row>
    <row r="144" spans="1:2" x14ac:dyDescent="0.25">
      <c r="A144" t="s">
        <v>1292</v>
      </c>
      <c r="B144" s="271" t="s">
        <v>1795</v>
      </c>
    </row>
    <row r="145" spans="1:2" x14ac:dyDescent="0.25">
      <c r="A145" t="s">
        <v>1293</v>
      </c>
      <c r="B145" s="271" t="s">
        <v>1796</v>
      </c>
    </row>
    <row r="146" spans="1:2" x14ac:dyDescent="0.25">
      <c r="A146" t="s">
        <v>1294</v>
      </c>
      <c r="B146" s="271" t="s">
        <v>1797</v>
      </c>
    </row>
    <row r="147" spans="1:2" x14ac:dyDescent="0.25">
      <c r="A147" t="s">
        <v>1295</v>
      </c>
      <c r="B147" s="271" t="s">
        <v>1798</v>
      </c>
    </row>
    <row r="148" spans="1:2" x14ac:dyDescent="0.25">
      <c r="A148" t="s">
        <v>1296</v>
      </c>
      <c r="B148" s="271" t="s">
        <v>1799</v>
      </c>
    </row>
    <row r="149" spans="1:2" x14ac:dyDescent="0.25">
      <c r="A149" t="s">
        <v>1297</v>
      </c>
      <c r="B149" s="271" t="s">
        <v>1800</v>
      </c>
    </row>
    <row r="150" spans="1:2" x14ac:dyDescent="0.25">
      <c r="A150" t="s">
        <v>1298</v>
      </c>
      <c r="B150" s="271" t="s">
        <v>1801</v>
      </c>
    </row>
    <row r="151" spans="1:2" x14ac:dyDescent="0.25">
      <c r="A151" t="s">
        <v>1299</v>
      </c>
      <c r="B151" s="271" t="s">
        <v>1802</v>
      </c>
    </row>
    <row r="152" spans="1:2" x14ac:dyDescent="0.25">
      <c r="A152" t="s">
        <v>1300</v>
      </c>
      <c r="B152" s="271" t="s">
        <v>1803</v>
      </c>
    </row>
    <row r="153" spans="1:2" x14ac:dyDescent="0.25">
      <c r="A153" t="s">
        <v>1301</v>
      </c>
      <c r="B153" s="271" t="s">
        <v>1804</v>
      </c>
    </row>
    <row r="154" spans="1:2" x14ac:dyDescent="0.25">
      <c r="A154" t="s">
        <v>1302</v>
      </c>
      <c r="B154" s="271" t="s">
        <v>1805</v>
      </c>
    </row>
    <row r="155" spans="1:2" x14ac:dyDescent="0.25">
      <c r="A155" t="s">
        <v>1303</v>
      </c>
      <c r="B155" s="271" t="s">
        <v>1806</v>
      </c>
    </row>
    <row r="156" spans="1:2" x14ac:dyDescent="0.25">
      <c r="A156" t="s">
        <v>1304</v>
      </c>
      <c r="B156" s="271" t="s">
        <v>1807</v>
      </c>
    </row>
    <row r="157" spans="1:2" x14ac:dyDescent="0.25">
      <c r="A157" t="s">
        <v>1305</v>
      </c>
      <c r="B157" s="271" t="s">
        <v>1808</v>
      </c>
    </row>
    <row r="158" spans="1:2" x14ac:dyDescent="0.25">
      <c r="A158" t="s">
        <v>1306</v>
      </c>
      <c r="B158" s="271" t="s">
        <v>1809</v>
      </c>
    </row>
    <row r="159" spans="1:2" x14ac:dyDescent="0.25">
      <c r="A159" t="s">
        <v>1307</v>
      </c>
      <c r="B159" s="271" t="s">
        <v>1810</v>
      </c>
    </row>
    <row r="160" spans="1:2" x14ac:dyDescent="0.25">
      <c r="A160" t="s">
        <v>1308</v>
      </c>
      <c r="B160" s="271" t="s">
        <v>1811</v>
      </c>
    </row>
    <row r="161" spans="1:2" x14ac:dyDescent="0.25">
      <c r="A161" t="s">
        <v>1309</v>
      </c>
      <c r="B161" s="271" t="s">
        <v>1812</v>
      </c>
    </row>
    <row r="162" spans="1:2" x14ac:dyDescent="0.25">
      <c r="A162" t="s">
        <v>1310</v>
      </c>
      <c r="B162" s="271" t="s">
        <v>1813</v>
      </c>
    </row>
    <row r="163" spans="1:2" x14ac:dyDescent="0.25">
      <c r="A163" t="s">
        <v>1311</v>
      </c>
      <c r="B163" s="271" t="s">
        <v>1814</v>
      </c>
    </row>
    <row r="164" spans="1:2" x14ac:dyDescent="0.25">
      <c r="A164" t="s">
        <v>1312</v>
      </c>
      <c r="B164" s="271" t="s">
        <v>1815</v>
      </c>
    </row>
    <row r="165" spans="1:2" x14ac:dyDescent="0.25">
      <c r="A165" t="s">
        <v>1313</v>
      </c>
      <c r="B165" s="271" t="s">
        <v>1816</v>
      </c>
    </row>
    <row r="166" spans="1:2" x14ac:dyDescent="0.25">
      <c r="A166" t="s">
        <v>1314</v>
      </c>
      <c r="B166" s="271" t="s">
        <v>1817</v>
      </c>
    </row>
    <row r="167" spans="1:2" x14ac:dyDescent="0.25">
      <c r="A167" t="s">
        <v>1315</v>
      </c>
      <c r="B167" s="271" t="s">
        <v>1818</v>
      </c>
    </row>
    <row r="168" spans="1:2" x14ac:dyDescent="0.25">
      <c r="A168" t="s">
        <v>1316</v>
      </c>
      <c r="B168" s="271" t="s">
        <v>1819</v>
      </c>
    </row>
    <row r="169" spans="1:2" x14ac:dyDescent="0.25">
      <c r="A169" t="s">
        <v>1317</v>
      </c>
      <c r="B169" s="271" t="s">
        <v>1820</v>
      </c>
    </row>
    <row r="170" spans="1:2" x14ac:dyDescent="0.25">
      <c r="A170" t="s">
        <v>1318</v>
      </c>
      <c r="B170" s="271" t="s">
        <v>1821</v>
      </c>
    </row>
    <row r="171" spans="1:2" x14ac:dyDescent="0.25">
      <c r="A171" t="s">
        <v>1319</v>
      </c>
      <c r="B171" s="271" t="s">
        <v>1822</v>
      </c>
    </row>
    <row r="172" spans="1:2" x14ac:dyDescent="0.25">
      <c r="A172" t="s">
        <v>1320</v>
      </c>
      <c r="B172" s="271" t="s">
        <v>1823</v>
      </c>
    </row>
    <row r="173" spans="1:2" x14ac:dyDescent="0.25">
      <c r="A173" t="s">
        <v>1321</v>
      </c>
      <c r="B173" s="271" t="s">
        <v>1824</v>
      </c>
    </row>
    <row r="174" spans="1:2" x14ac:dyDescent="0.25">
      <c r="A174" t="s">
        <v>1322</v>
      </c>
      <c r="B174" s="271" t="s">
        <v>1825</v>
      </c>
    </row>
    <row r="175" spans="1:2" x14ac:dyDescent="0.25">
      <c r="A175" t="s">
        <v>1323</v>
      </c>
      <c r="B175" s="271" t="s">
        <v>1826</v>
      </c>
    </row>
    <row r="176" spans="1:2" x14ac:dyDescent="0.25">
      <c r="A176" t="s">
        <v>1324</v>
      </c>
      <c r="B176" s="271" t="s">
        <v>1827</v>
      </c>
    </row>
    <row r="177" spans="1:2" x14ac:dyDescent="0.25">
      <c r="A177" t="s">
        <v>1325</v>
      </c>
      <c r="B177" s="271" t="s">
        <v>1828</v>
      </c>
    </row>
    <row r="178" spans="1:2" x14ac:dyDescent="0.25">
      <c r="A178" t="s">
        <v>1326</v>
      </c>
      <c r="B178" s="271" t="s">
        <v>1829</v>
      </c>
    </row>
    <row r="179" spans="1:2" x14ac:dyDescent="0.25">
      <c r="A179" t="s">
        <v>1327</v>
      </c>
      <c r="B179" s="271" t="s">
        <v>1830</v>
      </c>
    </row>
    <row r="180" spans="1:2" x14ac:dyDescent="0.25">
      <c r="A180" t="s">
        <v>1328</v>
      </c>
      <c r="B180" s="271" t="s">
        <v>1831</v>
      </c>
    </row>
    <row r="181" spans="1:2" x14ac:dyDescent="0.25">
      <c r="A181" t="s">
        <v>1329</v>
      </c>
      <c r="B181" s="271" t="s">
        <v>1832</v>
      </c>
    </row>
    <row r="182" spans="1:2" x14ac:dyDescent="0.25">
      <c r="A182" t="s">
        <v>1330</v>
      </c>
      <c r="B182" s="271" t="s">
        <v>1833</v>
      </c>
    </row>
    <row r="183" spans="1:2" x14ac:dyDescent="0.25">
      <c r="A183" t="s">
        <v>1331</v>
      </c>
      <c r="B183" s="271" t="s">
        <v>1834</v>
      </c>
    </row>
    <row r="184" spans="1:2" x14ac:dyDescent="0.25">
      <c r="A184" t="s">
        <v>1332</v>
      </c>
      <c r="B184" s="271" t="s">
        <v>1835</v>
      </c>
    </row>
    <row r="185" spans="1:2" x14ac:dyDescent="0.25">
      <c r="A185" t="s">
        <v>1333</v>
      </c>
      <c r="B185" s="271" t="s">
        <v>1836</v>
      </c>
    </row>
    <row r="186" spans="1:2" x14ac:dyDescent="0.25">
      <c r="A186" t="s">
        <v>1334</v>
      </c>
      <c r="B186" s="271" t="s">
        <v>1837</v>
      </c>
    </row>
    <row r="187" spans="1:2" x14ac:dyDescent="0.25">
      <c r="A187" t="s">
        <v>1335</v>
      </c>
      <c r="B187" s="271" t="s">
        <v>1838</v>
      </c>
    </row>
    <row r="188" spans="1:2" x14ac:dyDescent="0.25">
      <c r="A188" t="s">
        <v>1336</v>
      </c>
      <c r="B188" s="271" t="s">
        <v>1839</v>
      </c>
    </row>
    <row r="189" spans="1:2" x14ac:dyDescent="0.25">
      <c r="A189" t="s">
        <v>1337</v>
      </c>
      <c r="B189" s="271" t="s">
        <v>1840</v>
      </c>
    </row>
    <row r="190" spans="1:2" x14ac:dyDescent="0.25">
      <c r="A190" t="s">
        <v>1338</v>
      </c>
      <c r="B190" s="271" t="s">
        <v>1841</v>
      </c>
    </row>
    <row r="191" spans="1:2" x14ac:dyDescent="0.25">
      <c r="A191" t="s">
        <v>1339</v>
      </c>
      <c r="B191" s="271" t="s">
        <v>1842</v>
      </c>
    </row>
    <row r="192" spans="1:2" x14ac:dyDescent="0.25">
      <c r="A192" t="s">
        <v>1340</v>
      </c>
      <c r="B192" s="271" t="s">
        <v>1843</v>
      </c>
    </row>
    <row r="193" spans="1:2" x14ac:dyDescent="0.25">
      <c r="A193" t="s">
        <v>1341</v>
      </c>
      <c r="B193" s="271" t="s">
        <v>1844</v>
      </c>
    </row>
    <row r="194" spans="1:2" x14ac:dyDescent="0.25">
      <c r="A194" t="s">
        <v>1342</v>
      </c>
      <c r="B194" s="271" t="s">
        <v>1845</v>
      </c>
    </row>
    <row r="195" spans="1:2" x14ac:dyDescent="0.25">
      <c r="A195" t="s">
        <v>1343</v>
      </c>
      <c r="B195" s="271" t="s">
        <v>1846</v>
      </c>
    </row>
    <row r="196" spans="1:2" x14ac:dyDescent="0.25">
      <c r="A196" t="s">
        <v>1344</v>
      </c>
      <c r="B196" s="271" t="s">
        <v>1847</v>
      </c>
    </row>
    <row r="197" spans="1:2" x14ac:dyDescent="0.25">
      <c r="A197" t="s">
        <v>1345</v>
      </c>
      <c r="B197" s="271" t="s">
        <v>1848</v>
      </c>
    </row>
    <row r="198" spans="1:2" x14ac:dyDescent="0.25">
      <c r="A198" t="s">
        <v>1346</v>
      </c>
      <c r="B198" s="271" t="s">
        <v>1849</v>
      </c>
    </row>
    <row r="199" spans="1:2" x14ac:dyDescent="0.25">
      <c r="A199" t="s">
        <v>1347</v>
      </c>
      <c r="B199" s="271" t="s">
        <v>1850</v>
      </c>
    </row>
    <row r="200" spans="1:2" x14ac:dyDescent="0.25">
      <c r="A200" t="s">
        <v>1348</v>
      </c>
      <c r="B200" s="271" t="s">
        <v>1851</v>
      </c>
    </row>
    <row r="201" spans="1:2" x14ac:dyDescent="0.25">
      <c r="A201" t="s">
        <v>1349</v>
      </c>
      <c r="B201" s="271" t="s">
        <v>1852</v>
      </c>
    </row>
    <row r="202" spans="1:2" x14ac:dyDescent="0.25">
      <c r="A202" t="s">
        <v>1350</v>
      </c>
      <c r="B202" s="271" t="s">
        <v>1853</v>
      </c>
    </row>
    <row r="203" spans="1:2" x14ac:dyDescent="0.25">
      <c r="A203" t="s">
        <v>1351</v>
      </c>
      <c r="B203" s="271" t="s">
        <v>1854</v>
      </c>
    </row>
    <row r="204" spans="1:2" x14ac:dyDescent="0.25">
      <c r="A204" t="s">
        <v>1352</v>
      </c>
      <c r="B204" s="271" t="s">
        <v>1855</v>
      </c>
    </row>
    <row r="205" spans="1:2" x14ac:dyDescent="0.25">
      <c r="A205" t="s">
        <v>1353</v>
      </c>
      <c r="B205" s="271" t="s">
        <v>1856</v>
      </c>
    </row>
    <row r="206" spans="1:2" x14ac:dyDescent="0.25">
      <c r="A206" t="s">
        <v>1354</v>
      </c>
      <c r="B206" s="271" t="s">
        <v>1857</v>
      </c>
    </row>
    <row r="207" spans="1:2" x14ac:dyDescent="0.25">
      <c r="A207" t="s">
        <v>1355</v>
      </c>
      <c r="B207" s="271" t="s">
        <v>1858</v>
      </c>
    </row>
    <row r="208" spans="1:2" x14ac:dyDescent="0.25">
      <c r="A208" t="s">
        <v>1356</v>
      </c>
      <c r="B208" s="271" t="s">
        <v>1859</v>
      </c>
    </row>
    <row r="209" spans="1:2" x14ac:dyDescent="0.25">
      <c r="A209" t="s">
        <v>1357</v>
      </c>
      <c r="B209" s="271" t="s">
        <v>1860</v>
      </c>
    </row>
    <row r="210" spans="1:2" x14ac:dyDescent="0.25">
      <c r="A210" t="s">
        <v>1358</v>
      </c>
      <c r="B210" s="271" t="s">
        <v>1861</v>
      </c>
    </row>
    <row r="211" spans="1:2" x14ac:dyDescent="0.25">
      <c r="A211" t="s">
        <v>1359</v>
      </c>
      <c r="B211" s="271" t="s">
        <v>1862</v>
      </c>
    </row>
    <row r="212" spans="1:2" x14ac:dyDescent="0.25">
      <c r="A212" t="s">
        <v>1360</v>
      </c>
      <c r="B212" s="271" t="s">
        <v>1863</v>
      </c>
    </row>
    <row r="213" spans="1:2" x14ac:dyDescent="0.25">
      <c r="A213" t="s">
        <v>1361</v>
      </c>
      <c r="B213" s="271" t="s">
        <v>1864</v>
      </c>
    </row>
    <row r="214" spans="1:2" x14ac:dyDescent="0.25">
      <c r="A214" t="s">
        <v>1362</v>
      </c>
      <c r="B214" s="271" t="s">
        <v>1865</v>
      </c>
    </row>
    <row r="215" spans="1:2" x14ac:dyDescent="0.25">
      <c r="A215" t="s">
        <v>1363</v>
      </c>
      <c r="B215" s="271" t="s">
        <v>1866</v>
      </c>
    </row>
    <row r="216" spans="1:2" x14ac:dyDescent="0.25">
      <c r="A216" t="s">
        <v>1364</v>
      </c>
      <c r="B216" s="271" t="s">
        <v>1867</v>
      </c>
    </row>
    <row r="217" spans="1:2" x14ac:dyDescent="0.25">
      <c r="A217" t="s">
        <v>1365</v>
      </c>
      <c r="B217" s="271" t="s">
        <v>1868</v>
      </c>
    </row>
    <row r="218" spans="1:2" x14ac:dyDescent="0.25">
      <c r="A218" t="s">
        <v>1366</v>
      </c>
      <c r="B218" s="271" t="s">
        <v>1869</v>
      </c>
    </row>
    <row r="219" spans="1:2" x14ac:dyDescent="0.25">
      <c r="A219" t="s">
        <v>1367</v>
      </c>
      <c r="B219" s="271" t="s">
        <v>1870</v>
      </c>
    </row>
    <row r="220" spans="1:2" x14ac:dyDescent="0.25">
      <c r="A220" t="s">
        <v>1368</v>
      </c>
      <c r="B220" s="271" t="s">
        <v>1871</v>
      </c>
    </row>
    <row r="221" spans="1:2" x14ac:dyDescent="0.25">
      <c r="A221" t="s">
        <v>1369</v>
      </c>
      <c r="B221" s="271" t="s">
        <v>1872</v>
      </c>
    </row>
    <row r="222" spans="1:2" x14ac:dyDescent="0.25">
      <c r="A222" t="s">
        <v>1370</v>
      </c>
      <c r="B222" s="271" t="s">
        <v>1873</v>
      </c>
    </row>
    <row r="223" spans="1:2" x14ac:dyDescent="0.25">
      <c r="A223" t="s">
        <v>1371</v>
      </c>
      <c r="B223" s="271" t="s">
        <v>1874</v>
      </c>
    </row>
    <row r="224" spans="1:2" x14ac:dyDescent="0.25">
      <c r="A224" t="s">
        <v>1372</v>
      </c>
      <c r="B224" s="271" t="s">
        <v>1875</v>
      </c>
    </row>
    <row r="225" spans="1:2" x14ac:dyDescent="0.25">
      <c r="A225" t="s">
        <v>1373</v>
      </c>
      <c r="B225" s="271" t="s">
        <v>1876</v>
      </c>
    </row>
    <row r="226" spans="1:2" x14ac:dyDescent="0.25">
      <c r="A226" t="s">
        <v>1374</v>
      </c>
      <c r="B226" s="271" t="s">
        <v>1877</v>
      </c>
    </row>
    <row r="227" spans="1:2" x14ac:dyDescent="0.25">
      <c r="A227" t="s">
        <v>1375</v>
      </c>
      <c r="B227" s="271" t="s">
        <v>1878</v>
      </c>
    </row>
    <row r="228" spans="1:2" x14ac:dyDescent="0.25">
      <c r="A228" t="s">
        <v>1376</v>
      </c>
      <c r="B228" s="271" t="s">
        <v>1879</v>
      </c>
    </row>
    <row r="229" spans="1:2" x14ac:dyDescent="0.25">
      <c r="A229" t="s">
        <v>1377</v>
      </c>
      <c r="B229" s="271" t="s">
        <v>1880</v>
      </c>
    </row>
    <row r="230" spans="1:2" x14ac:dyDescent="0.25">
      <c r="A230" t="s">
        <v>1378</v>
      </c>
      <c r="B230" s="271" t="s">
        <v>1881</v>
      </c>
    </row>
    <row r="231" spans="1:2" x14ac:dyDescent="0.25">
      <c r="A231" t="s">
        <v>1379</v>
      </c>
      <c r="B231" s="271" t="s">
        <v>1882</v>
      </c>
    </row>
    <row r="232" spans="1:2" x14ac:dyDescent="0.25">
      <c r="A232" t="s">
        <v>1380</v>
      </c>
      <c r="B232" s="271" t="s">
        <v>1883</v>
      </c>
    </row>
    <row r="233" spans="1:2" x14ac:dyDescent="0.25">
      <c r="A233" t="s">
        <v>1381</v>
      </c>
      <c r="B233" s="271" t="s">
        <v>1884</v>
      </c>
    </row>
    <row r="234" spans="1:2" x14ac:dyDescent="0.25">
      <c r="A234" t="s">
        <v>1382</v>
      </c>
      <c r="B234" s="271" t="s">
        <v>1885</v>
      </c>
    </row>
    <row r="235" spans="1:2" x14ac:dyDescent="0.25">
      <c r="A235" t="s">
        <v>1383</v>
      </c>
      <c r="B235" s="271" t="s">
        <v>1886</v>
      </c>
    </row>
    <row r="236" spans="1:2" x14ac:dyDescent="0.25">
      <c r="A236" t="s">
        <v>1384</v>
      </c>
      <c r="B236" s="271" t="s">
        <v>1887</v>
      </c>
    </row>
    <row r="237" spans="1:2" x14ac:dyDescent="0.25">
      <c r="A237" t="s">
        <v>1385</v>
      </c>
      <c r="B237" s="271" t="s">
        <v>1888</v>
      </c>
    </row>
    <row r="238" spans="1:2" x14ac:dyDescent="0.25">
      <c r="A238" t="s">
        <v>1386</v>
      </c>
      <c r="B238" s="271" t="s">
        <v>1889</v>
      </c>
    </row>
    <row r="239" spans="1:2" x14ac:dyDescent="0.25">
      <c r="A239" t="s">
        <v>1387</v>
      </c>
      <c r="B239" s="271" t="s">
        <v>1890</v>
      </c>
    </row>
    <row r="240" spans="1:2" x14ac:dyDescent="0.25">
      <c r="A240" t="s">
        <v>1388</v>
      </c>
      <c r="B240" s="271" t="s">
        <v>1891</v>
      </c>
    </row>
    <row r="241" spans="1:2" x14ac:dyDescent="0.25">
      <c r="A241" t="s">
        <v>1389</v>
      </c>
      <c r="B241" s="271" t="s">
        <v>1892</v>
      </c>
    </row>
    <row r="242" spans="1:2" x14ac:dyDescent="0.25">
      <c r="A242" t="s">
        <v>1390</v>
      </c>
      <c r="B242" s="271" t="s">
        <v>1893</v>
      </c>
    </row>
    <row r="243" spans="1:2" x14ac:dyDescent="0.25">
      <c r="A243" t="s">
        <v>1391</v>
      </c>
      <c r="B243" s="271" t="s">
        <v>1894</v>
      </c>
    </row>
    <row r="244" spans="1:2" x14ac:dyDescent="0.25">
      <c r="A244" t="s">
        <v>1392</v>
      </c>
      <c r="B244" s="271" t="s">
        <v>1895</v>
      </c>
    </row>
    <row r="245" spans="1:2" x14ac:dyDescent="0.25">
      <c r="A245" t="s">
        <v>1393</v>
      </c>
      <c r="B245" s="271" t="s">
        <v>1896</v>
      </c>
    </row>
    <row r="246" spans="1:2" x14ac:dyDescent="0.25">
      <c r="A246" t="s">
        <v>1394</v>
      </c>
      <c r="B246" s="271" t="s">
        <v>1897</v>
      </c>
    </row>
    <row r="247" spans="1:2" x14ac:dyDescent="0.25">
      <c r="A247" t="s">
        <v>1395</v>
      </c>
      <c r="B247" s="271" t="s">
        <v>1898</v>
      </c>
    </row>
    <row r="248" spans="1:2" x14ac:dyDescent="0.25">
      <c r="A248" t="s">
        <v>1396</v>
      </c>
      <c r="B248" s="271" t="s">
        <v>1899</v>
      </c>
    </row>
    <row r="249" spans="1:2" x14ac:dyDescent="0.25">
      <c r="A249" t="s">
        <v>1397</v>
      </c>
      <c r="B249" s="271" t="s">
        <v>1900</v>
      </c>
    </row>
    <row r="250" spans="1:2" x14ac:dyDescent="0.25">
      <c r="A250" t="s">
        <v>1398</v>
      </c>
      <c r="B250" s="271" t="s">
        <v>1901</v>
      </c>
    </row>
    <row r="251" spans="1:2" x14ac:dyDescent="0.25">
      <c r="A251" t="s">
        <v>1399</v>
      </c>
      <c r="B251" s="271" t="s">
        <v>1902</v>
      </c>
    </row>
    <row r="252" spans="1:2" x14ac:dyDescent="0.25">
      <c r="A252" t="s">
        <v>1400</v>
      </c>
      <c r="B252" s="271" t="s">
        <v>1903</v>
      </c>
    </row>
    <row r="253" spans="1:2" x14ac:dyDescent="0.25">
      <c r="A253" t="s">
        <v>1401</v>
      </c>
      <c r="B253" s="271" t="s">
        <v>1904</v>
      </c>
    </row>
    <row r="254" spans="1:2" x14ac:dyDescent="0.25">
      <c r="A254" t="s">
        <v>1402</v>
      </c>
      <c r="B254" s="271" t="s">
        <v>1905</v>
      </c>
    </row>
    <row r="255" spans="1:2" x14ac:dyDescent="0.25">
      <c r="A255" t="s">
        <v>1403</v>
      </c>
      <c r="B255" s="271" t="s">
        <v>1906</v>
      </c>
    </row>
    <row r="256" spans="1:2" x14ac:dyDescent="0.25">
      <c r="A256" t="s">
        <v>1404</v>
      </c>
      <c r="B256" s="271" t="s">
        <v>1907</v>
      </c>
    </row>
    <row r="257" spans="1:2" x14ac:dyDescent="0.25">
      <c r="A257" t="s">
        <v>1405</v>
      </c>
      <c r="B257" s="271" t="s">
        <v>1908</v>
      </c>
    </row>
    <row r="258" spans="1:2" x14ac:dyDescent="0.25">
      <c r="A258" t="s">
        <v>1406</v>
      </c>
      <c r="B258" s="271" t="s">
        <v>1909</v>
      </c>
    </row>
    <row r="259" spans="1:2" x14ac:dyDescent="0.25">
      <c r="A259" t="s">
        <v>1407</v>
      </c>
      <c r="B259" s="271" t="s">
        <v>1910</v>
      </c>
    </row>
    <row r="260" spans="1:2" x14ac:dyDescent="0.25">
      <c r="A260" t="s">
        <v>1408</v>
      </c>
      <c r="B260" s="271" t="s">
        <v>1911</v>
      </c>
    </row>
    <row r="261" spans="1:2" x14ac:dyDescent="0.25">
      <c r="A261" t="s">
        <v>1409</v>
      </c>
      <c r="B261" s="271" t="s">
        <v>1912</v>
      </c>
    </row>
    <row r="262" spans="1:2" x14ac:dyDescent="0.25">
      <c r="A262" t="s">
        <v>1410</v>
      </c>
      <c r="B262" s="271" t="s">
        <v>1913</v>
      </c>
    </row>
    <row r="263" spans="1:2" x14ac:dyDescent="0.25">
      <c r="A263" t="s">
        <v>1411</v>
      </c>
      <c r="B263" s="271" t="s">
        <v>1914</v>
      </c>
    </row>
    <row r="264" spans="1:2" x14ac:dyDescent="0.25">
      <c r="A264" t="s">
        <v>1412</v>
      </c>
      <c r="B264" s="271" t="s">
        <v>1915</v>
      </c>
    </row>
    <row r="265" spans="1:2" x14ac:dyDescent="0.25">
      <c r="A265" t="s">
        <v>1413</v>
      </c>
      <c r="B265" s="271" t="s">
        <v>1916</v>
      </c>
    </row>
    <row r="266" spans="1:2" x14ac:dyDescent="0.25">
      <c r="A266" t="s">
        <v>1414</v>
      </c>
      <c r="B266" s="271" t="s">
        <v>1917</v>
      </c>
    </row>
    <row r="267" spans="1:2" x14ac:dyDescent="0.25">
      <c r="A267" t="s">
        <v>1415</v>
      </c>
      <c r="B267" s="271" t="s">
        <v>1918</v>
      </c>
    </row>
    <row r="268" spans="1:2" x14ac:dyDescent="0.25">
      <c r="A268" t="s">
        <v>1416</v>
      </c>
      <c r="B268" s="271" t="s">
        <v>1919</v>
      </c>
    </row>
    <row r="269" spans="1:2" x14ac:dyDescent="0.25">
      <c r="A269" t="s">
        <v>1417</v>
      </c>
      <c r="B269" s="271" t="s">
        <v>1920</v>
      </c>
    </row>
    <row r="270" spans="1:2" x14ac:dyDescent="0.25">
      <c r="A270" t="s">
        <v>1418</v>
      </c>
      <c r="B270" s="271" t="s">
        <v>1921</v>
      </c>
    </row>
    <row r="271" spans="1:2" x14ac:dyDescent="0.25">
      <c r="A271" t="s">
        <v>1419</v>
      </c>
      <c r="B271" s="271" t="s">
        <v>1922</v>
      </c>
    </row>
    <row r="272" spans="1:2" x14ac:dyDescent="0.25">
      <c r="A272" t="s">
        <v>1420</v>
      </c>
      <c r="B272" s="271" t="s">
        <v>1923</v>
      </c>
    </row>
    <row r="273" spans="1:2" x14ac:dyDescent="0.25">
      <c r="A273" t="s">
        <v>1421</v>
      </c>
      <c r="B273" s="271" t="s">
        <v>1924</v>
      </c>
    </row>
    <row r="274" spans="1:2" x14ac:dyDescent="0.25">
      <c r="A274" t="s">
        <v>1422</v>
      </c>
      <c r="B274" s="271" t="s">
        <v>1925</v>
      </c>
    </row>
    <row r="275" spans="1:2" x14ac:dyDescent="0.25">
      <c r="A275" t="s">
        <v>1423</v>
      </c>
      <c r="B275" s="271" t="s">
        <v>1926</v>
      </c>
    </row>
    <row r="276" spans="1:2" x14ac:dyDescent="0.25">
      <c r="A276" t="s">
        <v>1424</v>
      </c>
      <c r="B276" s="271" t="s">
        <v>1927</v>
      </c>
    </row>
    <row r="277" spans="1:2" x14ac:dyDescent="0.25">
      <c r="A277" t="s">
        <v>1425</v>
      </c>
      <c r="B277" s="271" t="s">
        <v>1928</v>
      </c>
    </row>
    <row r="278" spans="1:2" x14ac:dyDescent="0.25">
      <c r="A278" t="s">
        <v>1426</v>
      </c>
      <c r="B278" s="271" t="s">
        <v>1929</v>
      </c>
    </row>
    <row r="279" spans="1:2" x14ac:dyDescent="0.25">
      <c r="A279" t="s">
        <v>1427</v>
      </c>
      <c r="B279" s="271" t="s">
        <v>1930</v>
      </c>
    </row>
    <row r="280" spans="1:2" x14ac:dyDescent="0.25">
      <c r="A280" t="s">
        <v>1428</v>
      </c>
      <c r="B280" s="271" t="s">
        <v>1931</v>
      </c>
    </row>
    <row r="281" spans="1:2" x14ac:dyDescent="0.25">
      <c r="A281" t="s">
        <v>1429</v>
      </c>
      <c r="B281" s="271" t="s">
        <v>1932</v>
      </c>
    </row>
    <row r="282" spans="1:2" x14ac:dyDescent="0.25">
      <c r="A282" t="s">
        <v>1430</v>
      </c>
      <c r="B282" s="271" t="s">
        <v>1933</v>
      </c>
    </row>
    <row r="283" spans="1:2" x14ac:dyDescent="0.25">
      <c r="A283" t="s">
        <v>1431</v>
      </c>
      <c r="B283" s="271" t="s">
        <v>1934</v>
      </c>
    </row>
    <row r="284" spans="1:2" x14ac:dyDescent="0.25">
      <c r="A284" t="s">
        <v>1432</v>
      </c>
      <c r="B284" s="271" t="s">
        <v>1935</v>
      </c>
    </row>
    <row r="285" spans="1:2" x14ac:dyDescent="0.25">
      <c r="A285" t="s">
        <v>1433</v>
      </c>
      <c r="B285" s="271" t="s">
        <v>1936</v>
      </c>
    </row>
    <row r="286" spans="1:2" x14ac:dyDescent="0.25">
      <c r="A286" t="s">
        <v>1434</v>
      </c>
      <c r="B286" s="271" t="s">
        <v>1937</v>
      </c>
    </row>
    <row r="287" spans="1:2" x14ac:dyDescent="0.25">
      <c r="A287" t="s">
        <v>1435</v>
      </c>
      <c r="B287" s="271" t="s">
        <v>1938</v>
      </c>
    </row>
    <row r="288" spans="1:2" x14ac:dyDescent="0.25">
      <c r="A288" t="s">
        <v>1436</v>
      </c>
      <c r="B288" s="271" t="s">
        <v>1939</v>
      </c>
    </row>
    <row r="289" spans="1:2" x14ac:dyDescent="0.25">
      <c r="A289" t="s">
        <v>1437</v>
      </c>
      <c r="B289" s="271" t="s">
        <v>1940</v>
      </c>
    </row>
    <row r="290" spans="1:2" x14ac:dyDescent="0.25">
      <c r="A290" t="s">
        <v>1438</v>
      </c>
      <c r="B290" s="271" t="s">
        <v>1941</v>
      </c>
    </row>
    <row r="291" spans="1:2" x14ac:dyDescent="0.25">
      <c r="A291" t="s">
        <v>1439</v>
      </c>
      <c r="B291" s="271" t="s">
        <v>1942</v>
      </c>
    </row>
    <row r="292" spans="1:2" x14ac:dyDescent="0.25">
      <c r="A292" t="s">
        <v>1440</v>
      </c>
      <c r="B292" s="271" t="s">
        <v>1943</v>
      </c>
    </row>
    <row r="293" spans="1:2" x14ac:dyDescent="0.25">
      <c r="A293" t="s">
        <v>1441</v>
      </c>
      <c r="B293" s="271" t="s">
        <v>1944</v>
      </c>
    </row>
    <row r="294" spans="1:2" x14ac:dyDescent="0.25">
      <c r="A294" t="s">
        <v>1442</v>
      </c>
      <c r="B294" s="271" t="s">
        <v>1945</v>
      </c>
    </row>
    <row r="295" spans="1:2" x14ac:dyDescent="0.25">
      <c r="A295" t="s">
        <v>1443</v>
      </c>
      <c r="B295" s="271" t="s">
        <v>1946</v>
      </c>
    </row>
    <row r="296" spans="1:2" x14ac:dyDescent="0.25">
      <c r="A296" t="s">
        <v>1444</v>
      </c>
      <c r="B296" s="271" t="s">
        <v>1947</v>
      </c>
    </row>
    <row r="297" spans="1:2" x14ac:dyDescent="0.25">
      <c r="A297" t="s">
        <v>1445</v>
      </c>
      <c r="B297" s="271" t="s">
        <v>1948</v>
      </c>
    </row>
    <row r="298" spans="1:2" x14ac:dyDescent="0.25">
      <c r="A298" t="s">
        <v>1446</v>
      </c>
      <c r="B298" s="271" t="s">
        <v>1949</v>
      </c>
    </row>
    <row r="299" spans="1:2" x14ac:dyDescent="0.25">
      <c r="A299" t="s">
        <v>1447</v>
      </c>
      <c r="B299" s="271" t="s">
        <v>1950</v>
      </c>
    </row>
    <row r="300" spans="1:2" x14ac:dyDescent="0.25">
      <c r="A300" t="s">
        <v>1448</v>
      </c>
      <c r="B300" s="271" t="s">
        <v>1951</v>
      </c>
    </row>
    <row r="301" spans="1:2" x14ac:dyDescent="0.25">
      <c r="A301" t="s">
        <v>1449</v>
      </c>
      <c r="B301" s="271" t="s">
        <v>1952</v>
      </c>
    </row>
    <row r="302" spans="1:2" x14ac:dyDescent="0.25">
      <c r="A302" t="s">
        <v>1450</v>
      </c>
      <c r="B302" s="271" t="s">
        <v>1953</v>
      </c>
    </row>
    <row r="303" spans="1:2" x14ac:dyDescent="0.25">
      <c r="A303" t="s">
        <v>1451</v>
      </c>
      <c r="B303" s="271" t="s">
        <v>1954</v>
      </c>
    </row>
    <row r="304" spans="1:2" x14ac:dyDescent="0.25">
      <c r="A304" t="s">
        <v>1452</v>
      </c>
      <c r="B304" s="271" t="s">
        <v>1955</v>
      </c>
    </row>
    <row r="305" spans="1:2" x14ac:dyDescent="0.25">
      <c r="A305" t="s">
        <v>1453</v>
      </c>
      <c r="B305" s="271" t="s">
        <v>1956</v>
      </c>
    </row>
    <row r="306" spans="1:2" x14ac:dyDescent="0.25">
      <c r="A306" t="s">
        <v>1454</v>
      </c>
      <c r="B306" s="271" t="s">
        <v>1957</v>
      </c>
    </row>
    <row r="307" spans="1:2" x14ac:dyDescent="0.25">
      <c r="A307" t="s">
        <v>1455</v>
      </c>
      <c r="B307" s="271" t="s">
        <v>1958</v>
      </c>
    </row>
    <row r="308" spans="1:2" x14ac:dyDescent="0.25">
      <c r="A308" t="s">
        <v>1456</v>
      </c>
      <c r="B308" s="271" t="s">
        <v>1959</v>
      </c>
    </row>
    <row r="309" spans="1:2" x14ac:dyDescent="0.25">
      <c r="A309" t="s">
        <v>1457</v>
      </c>
      <c r="B309" s="271" t="s">
        <v>1960</v>
      </c>
    </row>
    <row r="310" spans="1:2" x14ac:dyDescent="0.25">
      <c r="A310" t="s">
        <v>1458</v>
      </c>
      <c r="B310" s="271" t="s">
        <v>1961</v>
      </c>
    </row>
    <row r="311" spans="1:2" x14ac:dyDescent="0.25">
      <c r="A311" t="s">
        <v>1459</v>
      </c>
      <c r="B311" s="271" t="s">
        <v>1962</v>
      </c>
    </row>
    <row r="312" spans="1:2" x14ac:dyDescent="0.25">
      <c r="A312" t="s">
        <v>1460</v>
      </c>
      <c r="B312" s="271" t="s">
        <v>1963</v>
      </c>
    </row>
    <row r="313" spans="1:2" x14ac:dyDescent="0.25">
      <c r="A313" t="s">
        <v>1461</v>
      </c>
      <c r="B313" s="271" t="s">
        <v>1964</v>
      </c>
    </row>
    <row r="314" spans="1:2" x14ac:dyDescent="0.25">
      <c r="A314" t="s">
        <v>1462</v>
      </c>
      <c r="B314" s="271" t="s">
        <v>1965</v>
      </c>
    </row>
    <row r="315" spans="1:2" x14ac:dyDescent="0.25">
      <c r="A315" t="s">
        <v>1463</v>
      </c>
      <c r="B315" s="271" t="s">
        <v>1966</v>
      </c>
    </row>
    <row r="316" spans="1:2" x14ac:dyDescent="0.25">
      <c r="A316" t="s">
        <v>1464</v>
      </c>
      <c r="B316" s="271" t="s">
        <v>1967</v>
      </c>
    </row>
    <row r="317" spans="1:2" x14ac:dyDescent="0.25">
      <c r="A317" t="s">
        <v>1465</v>
      </c>
      <c r="B317" s="271" t="s">
        <v>1968</v>
      </c>
    </row>
    <row r="318" spans="1:2" x14ac:dyDescent="0.25">
      <c r="A318" t="s">
        <v>1466</v>
      </c>
      <c r="B318" s="271" t="s">
        <v>1969</v>
      </c>
    </row>
    <row r="319" spans="1:2" x14ac:dyDescent="0.25">
      <c r="A319" t="s">
        <v>1467</v>
      </c>
      <c r="B319" s="271" t="s">
        <v>1970</v>
      </c>
    </row>
    <row r="320" spans="1:2" x14ac:dyDescent="0.25">
      <c r="A320" t="s">
        <v>1468</v>
      </c>
      <c r="B320" s="271" t="s">
        <v>1971</v>
      </c>
    </row>
    <row r="321" spans="1:2" x14ac:dyDescent="0.25">
      <c r="A321" t="s">
        <v>1469</v>
      </c>
      <c r="B321" s="271" t="s">
        <v>1972</v>
      </c>
    </row>
    <row r="322" spans="1:2" x14ac:dyDescent="0.25">
      <c r="A322" t="s">
        <v>1470</v>
      </c>
      <c r="B322" s="271" t="s">
        <v>1973</v>
      </c>
    </row>
    <row r="323" spans="1:2" x14ac:dyDescent="0.25">
      <c r="A323" t="s">
        <v>1471</v>
      </c>
      <c r="B323" s="271" t="s">
        <v>1974</v>
      </c>
    </row>
    <row r="324" spans="1:2" x14ac:dyDescent="0.25">
      <c r="A324" t="s">
        <v>1472</v>
      </c>
      <c r="B324" s="271" t="s">
        <v>1975</v>
      </c>
    </row>
    <row r="325" spans="1:2" x14ac:dyDescent="0.25">
      <c r="A325" t="s">
        <v>1473</v>
      </c>
      <c r="B325" s="271" t="s">
        <v>1976</v>
      </c>
    </row>
    <row r="326" spans="1:2" x14ac:dyDescent="0.25">
      <c r="A326" t="s">
        <v>1474</v>
      </c>
      <c r="B326" s="271" t="s">
        <v>1977</v>
      </c>
    </row>
    <row r="327" spans="1:2" x14ac:dyDescent="0.25">
      <c r="A327" t="s">
        <v>1475</v>
      </c>
      <c r="B327" s="271" t="s">
        <v>1978</v>
      </c>
    </row>
    <row r="328" spans="1:2" x14ac:dyDescent="0.25">
      <c r="A328" t="s">
        <v>1476</v>
      </c>
      <c r="B328" s="271" t="s">
        <v>1979</v>
      </c>
    </row>
    <row r="329" spans="1:2" x14ac:dyDescent="0.25">
      <c r="A329" t="s">
        <v>1477</v>
      </c>
      <c r="B329" s="271" t="s">
        <v>1980</v>
      </c>
    </row>
    <row r="330" spans="1:2" x14ac:dyDescent="0.25">
      <c r="A330" t="s">
        <v>1478</v>
      </c>
      <c r="B330" s="271" t="s">
        <v>1981</v>
      </c>
    </row>
    <row r="331" spans="1:2" x14ac:dyDescent="0.25">
      <c r="A331" t="s">
        <v>1479</v>
      </c>
      <c r="B331" s="271" t="s">
        <v>1982</v>
      </c>
    </row>
    <row r="332" spans="1:2" x14ac:dyDescent="0.25">
      <c r="A332" t="s">
        <v>1480</v>
      </c>
      <c r="B332" s="271" t="s">
        <v>1983</v>
      </c>
    </row>
    <row r="333" spans="1:2" x14ac:dyDescent="0.25">
      <c r="A333" t="s">
        <v>1481</v>
      </c>
      <c r="B333" s="271" t="s">
        <v>1984</v>
      </c>
    </row>
    <row r="334" spans="1:2" x14ac:dyDescent="0.25">
      <c r="A334" t="s">
        <v>1482</v>
      </c>
      <c r="B334" s="271" t="s">
        <v>1985</v>
      </c>
    </row>
    <row r="335" spans="1:2" x14ac:dyDescent="0.25">
      <c r="A335" t="s">
        <v>1483</v>
      </c>
      <c r="B335" s="271" t="s">
        <v>1986</v>
      </c>
    </row>
    <row r="336" spans="1:2" x14ac:dyDescent="0.25">
      <c r="A336" t="s">
        <v>1484</v>
      </c>
      <c r="B336" s="271" t="s">
        <v>1987</v>
      </c>
    </row>
    <row r="337" spans="1:2" x14ac:dyDescent="0.25">
      <c r="A337" t="s">
        <v>1485</v>
      </c>
      <c r="B337" s="271" t="s">
        <v>1988</v>
      </c>
    </row>
    <row r="338" spans="1:2" x14ac:dyDescent="0.25">
      <c r="A338" t="s">
        <v>1486</v>
      </c>
      <c r="B338" s="271" t="s">
        <v>1989</v>
      </c>
    </row>
    <row r="339" spans="1:2" x14ac:dyDescent="0.25">
      <c r="A339" t="s">
        <v>1487</v>
      </c>
      <c r="B339" s="271" t="s">
        <v>1990</v>
      </c>
    </row>
    <row r="340" spans="1:2" x14ac:dyDescent="0.25">
      <c r="A340" t="s">
        <v>1488</v>
      </c>
      <c r="B340" s="271" t="s">
        <v>1991</v>
      </c>
    </row>
    <row r="341" spans="1:2" x14ac:dyDescent="0.25">
      <c r="A341" t="s">
        <v>1489</v>
      </c>
      <c r="B341" s="271" t="s">
        <v>1992</v>
      </c>
    </row>
    <row r="342" spans="1:2" x14ac:dyDescent="0.25">
      <c r="A342" t="s">
        <v>1490</v>
      </c>
      <c r="B342" s="271" t="s">
        <v>1993</v>
      </c>
    </row>
    <row r="343" spans="1:2" x14ac:dyDescent="0.25">
      <c r="A343" t="s">
        <v>1491</v>
      </c>
      <c r="B343" s="271" t="s">
        <v>1994</v>
      </c>
    </row>
    <row r="344" spans="1:2" x14ac:dyDescent="0.25">
      <c r="A344" t="s">
        <v>1492</v>
      </c>
      <c r="B344" s="271" t="s">
        <v>1995</v>
      </c>
    </row>
    <row r="345" spans="1:2" x14ac:dyDescent="0.25">
      <c r="A345" t="s">
        <v>1493</v>
      </c>
      <c r="B345" s="271" t="s">
        <v>1996</v>
      </c>
    </row>
    <row r="346" spans="1:2" x14ac:dyDescent="0.25">
      <c r="A346" t="s">
        <v>1494</v>
      </c>
      <c r="B346" s="271" t="s">
        <v>1997</v>
      </c>
    </row>
    <row r="347" spans="1:2" x14ac:dyDescent="0.25">
      <c r="A347" t="s">
        <v>1495</v>
      </c>
      <c r="B347" s="271" t="s">
        <v>1998</v>
      </c>
    </row>
    <row r="348" spans="1:2" x14ac:dyDescent="0.25">
      <c r="A348" t="s">
        <v>1496</v>
      </c>
      <c r="B348" s="271" t="s">
        <v>1999</v>
      </c>
    </row>
    <row r="349" spans="1:2" x14ac:dyDescent="0.25">
      <c r="A349" t="s">
        <v>1497</v>
      </c>
      <c r="B349" s="271" t="s">
        <v>2000</v>
      </c>
    </row>
    <row r="350" spans="1:2" x14ac:dyDescent="0.25">
      <c r="A350" t="s">
        <v>1498</v>
      </c>
      <c r="B350" s="271" t="s">
        <v>2001</v>
      </c>
    </row>
    <row r="351" spans="1:2" x14ac:dyDescent="0.25">
      <c r="A351" t="s">
        <v>1499</v>
      </c>
      <c r="B351" s="271" t="s">
        <v>2002</v>
      </c>
    </row>
    <row r="352" spans="1:2" x14ac:dyDescent="0.25">
      <c r="A352" t="s">
        <v>1500</v>
      </c>
      <c r="B352" s="271" t="s">
        <v>2003</v>
      </c>
    </row>
    <row r="353" spans="1:2" x14ac:dyDescent="0.25">
      <c r="A353" t="s">
        <v>1501</v>
      </c>
      <c r="B353" s="271" t="s">
        <v>2004</v>
      </c>
    </row>
    <row r="354" spans="1:2" x14ac:dyDescent="0.25">
      <c r="A354" t="s">
        <v>1502</v>
      </c>
      <c r="B354" s="271" t="s">
        <v>2005</v>
      </c>
    </row>
    <row r="355" spans="1:2" x14ac:dyDescent="0.25">
      <c r="A355" t="s">
        <v>1503</v>
      </c>
      <c r="B355" s="271" t="s">
        <v>2006</v>
      </c>
    </row>
    <row r="356" spans="1:2" x14ac:dyDescent="0.25">
      <c r="A356" t="s">
        <v>1504</v>
      </c>
      <c r="B356" s="271" t="s">
        <v>2007</v>
      </c>
    </row>
    <row r="357" spans="1:2" x14ac:dyDescent="0.25">
      <c r="A357" t="s">
        <v>1505</v>
      </c>
      <c r="B357" s="271" t="s">
        <v>2008</v>
      </c>
    </row>
    <row r="358" spans="1:2" x14ac:dyDescent="0.25">
      <c r="A358" t="s">
        <v>1506</v>
      </c>
      <c r="B358" s="271" t="s">
        <v>2009</v>
      </c>
    </row>
    <row r="359" spans="1:2" x14ac:dyDescent="0.25">
      <c r="A359" t="s">
        <v>1507</v>
      </c>
      <c r="B359" s="271" t="s">
        <v>2010</v>
      </c>
    </row>
    <row r="360" spans="1:2" x14ac:dyDescent="0.25">
      <c r="A360" t="s">
        <v>1508</v>
      </c>
      <c r="B360" s="271" t="s">
        <v>2011</v>
      </c>
    </row>
    <row r="361" spans="1:2" x14ac:dyDescent="0.25">
      <c r="A361" t="s">
        <v>1509</v>
      </c>
      <c r="B361" s="271" t="s">
        <v>2012</v>
      </c>
    </row>
    <row r="362" spans="1:2" x14ac:dyDescent="0.25">
      <c r="A362" t="s">
        <v>1510</v>
      </c>
      <c r="B362" s="271" t="s">
        <v>2013</v>
      </c>
    </row>
    <row r="363" spans="1:2" x14ac:dyDescent="0.25">
      <c r="A363" t="s">
        <v>1511</v>
      </c>
      <c r="B363" s="271" t="s">
        <v>2014</v>
      </c>
    </row>
    <row r="364" spans="1:2" x14ac:dyDescent="0.25">
      <c r="A364" t="s">
        <v>1512</v>
      </c>
      <c r="B364" s="271" t="s">
        <v>2015</v>
      </c>
    </row>
    <row r="365" spans="1:2" x14ac:dyDescent="0.25">
      <c r="A365" t="s">
        <v>1513</v>
      </c>
      <c r="B365" s="271" t="s">
        <v>2016</v>
      </c>
    </row>
    <row r="366" spans="1:2" x14ac:dyDescent="0.25">
      <c r="A366" t="s">
        <v>1514</v>
      </c>
      <c r="B366" s="271" t="s">
        <v>2017</v>
      </c>
    </row>
    <row r="367" spans="1:2" x14ac:dyDescent="0.25">
      <c r="A367" t="s">
        <v>1515</v>
      </c>
      <c r="B367" s="271" t="s">
        <v>2018</v>
      </c>
    </row>
    <row r="368" spans="1:2" x14ac:dyDescent="0.25">
      <c r="A368" t="s">
        <v>1516</v>
      </c>
      <c r="B368" s="271" t="s">
        <v>2019</v>
      </c>
    </row>
    <row r="369" spans="1:2" x14ac:dyDescent="0.25">
      <c r="A369" t="s">
        <v>1517</v>
      </c>
      <c r="B369" s="271" t="s">
        <v>2020</v>
      </c>
    </row>
    <row r="370" spans="1:2" x14ac:dyDescent="0.25">
      <c r="A370" t="s">
        <v>1518</v>
      </c>
      <c r="B370" s="271" t="s">
        <v>2021</v>
      </c>
    </row>
    <row r="371" spans="1:2" x14ac:dyDescent="0.25">
      <c r="A371" t="s">
        <v>1519</v>
      </c>
      <c r="B371" s="271" t="s">
        <v>2022</v>
      </c>
    </row>
    <row r="372" spans="1:2" x14ac:dyDescent="0.25">
      <c r="A372" t="s">
        <v>1520</v>
      </c>
      <c r="B372" s="271" t="s">
        <v>2023</v>
      </c>
    </row>
    <row r="373" spans="1:2" x14ac:dyDescent="0.25">
      <c r="A373" t="s">
        <v>1521</v>
      </c>
      <c r="B373" s="271" t="s">
        <v>2024</v>
      </c>
    </row>
    <row r="374" spans="1:2" x14ac:dyDescent="0.25">
      <c r="A374" t="s">
        <v>1522</v>
      </c>
      <c r="B374" s="271" t="s">
        <v>2025</v>
      </c>
    </row>
    <row r="375" spans="1:2" x14ac:dyDescent="0.25">
      <c r="A375" t="s">
        <v>1523</v>
      </c>
      <c r="B375" s="271" t="s">
        <v>2026</v>
      </c>
    </row>
    <row r="376" spans="1:2" x14ac:dyDescent="0.25">
      <c r="A376" t="s">
        <v>1524</v>
      </c>
      <c r="B376" s="271" t="s">
        <v>2027</v>
      </c>
    </row>
    <row r="377" spans="1:2" x14ac:dyDescent="0.25">
      <c r="A377" t="s">
        <v>1525</v>
      </c>
      <c r="B377" s="271" t="s">
        <v>2028</v>
      </c>
    </row>
    <row r="378" spans="1:2" x14ac:dyDescent="0.25">
      <c r="A378" t="s">
        <v>1526</v>
      </c>
      <c r="B378" s="271" t="s">
        <v>2029</v>
      </c>
    </row>
    <row r="379" spans="1:2" x14ac:dyDescent="0.25">
      <c r="A379" t="s">
        <v>1527</v>
      </c>
      <c r="B379" s="271" t="s">
        <v>2030</v>
      </c>
    </row>
    <row r="380" spans="1:2" x14ac:dyDescent="0.25">
      <c r="A380" t="s">
        <v>1528</v>
      </c>
      <c r="B380" s="271" t="s">
        <v>2031</v>
      </c>
    </row>
    <row r="381" spans="1:2" x14ac:dyDescent="0.25">
      <c r="A381" t="s">
        <v>1529</v>
      </c>
      <c r="B381" s="271" t="s">
        <v>2032</v>
      </c>
    </row>
    <row r="382" spans="1:2" x14ac:dyDescent="0.25">
      <c r="A382" t="s">
        <v>1530</v>
      </c>
      <c r="B382" s="271" t="s">
        <v>2033</v>
      </c>
    </row>
    <row r="383" spans="1:2" x14ac:dyDescent="0.25">
      <c r="A383" t="s">
        <v>1531</v>
      </c>
      <c r="B383" s="271" t="s">
        <v>2034</v>
      </c>
    </row>
    <row r="384" spans="1:2" x14ac:dyDescent="0.25">
      <c r="A384" t="s">
        <v>1532</v>
      </c>
      <c r="B384" s="271" t="s">
        <v>2035</v>
      </c>
    </row>
    <row r="385" spans="1:2" x14ac:dyDescent="0.25">
      <c r="A385" t="s">
        <v>1533</v>
      </c>
      <c r="B385" s="271" t="s">
        <v>2036</v>
      </c>
    </row>
    <row r="386" spans="1:2" x14ac:dyDescent="0.25">
      <c r="A386" t="s">
        <v>1534</v>
      </c>
      <c r="B386" s="271" t="s">
        <v>2037</v>
      </c>
    </row>
    <row r="387" spans="1:2" x14ac:dyDescent="0.25">
      <c r="A387" t="s">
        <v>1535</v>
      </c>
      <c r="B387" s="271" t="s">
        <v>2038</v>
      </c>
    </row>
    <row r="388" spans="1:2" x14ac:dyDescent="0.25">
      <c r="A388" t="s">
        <v>1536</v>
      </c>
      <c r="B388" s="271" t="s">
        <v>2039</v>
      </c>
    </row>
    <row r="389" spans="1:2" x14ac:dyDescent="0.25">
      <c r="A389" t="s">
        <v>1537</v>
      </c>
      <c r="B389" s="271" t="s">
        <v>2040</v>
      </c>
    </row>
    <row r="390" spans="1:2" x14ac:dyDescent="0.25">
      <c r="A390" t="s">
        <v>1538</v>
      </c>
      <c r="B390" s="271" t="s">
        <v>2041</v>
      </c>
    </row>
    <row r="391" spans="1:2" x14ac:dyDescent="0.25">
      <c r="A391" t="s">
        <v>1539</v>
      </c>
      <c r="B391" s="271" t="s">
        <v>2042</v>
      </c>
    </row>
    <row r="392" spans="1:2" x14ac:dyDescent="0.25">
      <c r="A392" t="s">
        <v>1540</v>
      </c>
      <c r="B392" s="271" t="s">
        <v>2043</v>
      </c>
    </row>
    <row r="393" spans="1:2" x14ac:dyDescent="0.25">
      <c r="A393" t="s">
        <v>1541</v>
      </c>
      <c r="B393" s="271" t="s">
        <v>2044</v>
      </c>
    </row>
    <row r="394" spans="1:2" x14ac:dyDescent="0.25">
      <c r="A394" t="s">
        <v>1542</v>
      </c>
      <c r="B394" s="271" t="s">
        <v>2045</v>
      </c>
    </row>
    <row r="395" spans="1:2" x14ac:dyDescent="0.25">
      <c r="A395" t="s">
        <v>1543</v>
      </c>
      <c r="B395" s="271" t="s">
        <v>2046</v>
      </c>
    </row>
    <row r="396" spans="1:2" x14ac:dyDescent="0.25">
      <c r="A396" t="s">
        <v>1544</v>
      </c>
      <c r="B396" s="271" t="s">
        <v>2047</v>
      </c>
    </row>
    <row r="397" spans="1:2" x14ac:dyDescent="0.25">
      <c r="A397" t="s">
        <v>1545</v>
      </c>
      <c r="B397" s="271" t="s">
        <v>2048</v>
      </c>
    </row>
    <row r="398" spans="1:2" x14ac:dyDescent="0.25">
      <c r="A398" t="s">
        <v>1546</v>
      </c>
      <c r="B398" s="271" t="s">
        <v>2049</v>
      </c>
    </row>
    <row r="399" spans="1:2" x14ac:dyDescent="0.25">
      <c r="A399" t="s">
        <v>1547</v>
      </c>
      <c r="B399" s="271" t="s">
        <v>2050</v>
      </c>
    </row>
    <row r="400" spans="1:2" x14ac:dyDescent="0.25">
      <c r="A400" t="s">
        <v>1548</v>
      </c>
      <c r="B400" s="271" t="s">
        <v>2051</v>
      </c>
    </row>
    <row r="401" spans="1:2" x14ac:dyDescent="0.25">
      <c r="A401" t="s">
        <v>1549</v>
      </c>
      <c r="B401" s="271" t="s">
        <v>2052</v>
      </c>
    </row>
    <row r="402" spans="1:2" x14ac:dyDescent="0.25">
      <c r="A402" t="s">
        <v>1550</v>
      </c>
      <c r="B402" s="271" t="s">
        <v>2053</v>
      </c>
    </row>
    <row r="403" spans="1:2" x14ac:dyDescent="0.25">
      <c r="A403" t="s">
        <v>1551</v>
      </c>
      <c r="B403" s="271" t="s">
        <v>2054</v>
      </c>
    </row>
    <row r="404" spans="1:2" x14ac:dyDescent="0.25">
      <c r="A404" t="s">
        <v>1552</v>
      </c>
      <c r="B404" s="271" t="s">
        <v>2055</v>
      </c>
    </row>
    <row r="405" spans="1:2" x14ac:dyDescent="0.25">
      <c r="A405" t="s">
        <v>1553</v>
      </c>
      <c r="B405" s="271" t="s">
        <v>2056</v>
      </c>
    </row>
    <row r="406" spans="1:2" x14ac:dyDescent="0.25">
      <c r="A406" t="s">
        <v>1554</v>
      </c>
      <c r="B406" s="271" t="s">
        <v>2057</v>
      </c>
    </row>
    <row r="407" spans="1:2" x14ac:dyDescent="0.25">
      <c r="A407" t="s">
        <v>1555</v>
      </c>
      <c r="B407" s="271" t="s">
        <v>2058</v>
      </c>
    </row>
    <row r="408" spans="1:2" x14ac:dyDescent="0.25">
      <c r="A408" t="s">
        <v>1556</v>
      </c>
      <c r="B408" s="271" t="s">
        <v>2059</v>
      </c>
    </row>
    <row r="409" spans="1:2" x14ac:dyDescent="0.25">
      <c r="A409" t="s">
        <v>1557</v>
      </c>
      <c r="B409" s="271" t="s">
        <v>2060</v>
      </c>
    </row>
    <row r="410" spans="1:2" x14ac:dyDescent="0.25">
      <c r="A410" t="s">
        <v>1558</v>
      </c>
      <c r="B410" s="271" t="s">
        <v>2061</v>
      </c>
    </row>
    <row r="411" spans="1:2" x14ac:dyDescent="0.25">
      <c r="A411" t="s">
        <v>1559</v>
      </c>
      <c r="B411" s="271" t="s">
        <v>2062</v>
      </c>
    </row>
    <row r="412" spans="1:2" x14ac:dyDescent="0.25">
      <c r="A412" t="s">
        <v>1560</v>
      </c>
      <c r="B412" s="271" t="s">
        <v>2063</v>
      </c>
    </row>
    <row r="413" spans="1:2" x14ac:dyDescent="0.25">
      <c r="A413" t="s">
        <v>1561</v>
      </c>
      <c r="B413" s="271" t="s">
        <v>2064</v>
      </c>
    </row>
    <row r="414" spans="1:2" x14ac:dyDescent="0.25">
      <c r="A414" t="s">
        <v>1562</v>
      </c>
      <c r="B414" s="271" t="s">
        <v>2065</v>
      </c>
    </row>
    <row r="415" spans="1:2" x14ac:dyDescent="0.25">
      <c r="A415" t="s">
        <v>1563</v>
      </c>
      <c r="B415" s="271" t="s">
        <v>2066</v>
      </c>
    </row>
    <row r="416" spans="1:2" x14ac:dyDescent="0.25">
      <c r="A416" t="s">
        <v>1564</v>
      </c>
      <c r="B416" s="271" t="s">
        <v>2067</v>
      </c>
    </row>
    <row r="417" spans="1:2" x14ac:dyDescent="0.25">
      <c r="A417" t="s">
        <v>1565</v>
      </c>
      <c r="B417" s="271" t="s">
        <v>2068</v>
      </c>
    </row>
    <row r="418" spans="1:2" x14ac:dyDescent="0.25">
      <c r="A418" t="s">
        <v>1566</v>
      </c>
      <c r="B418" s="271" t="s">
        <v>2069</v>
      </c>
    </row>
    <row r="419" spans="1:2" x14ac:dyDescent="0.25">
      <c r="A419" t="s">
        <v>1567</v>
      </c>
      <c r="B419" s="271" t="s">
        <v>2070</v>
      </c>
    </row>
    <row r="420" spans="1:2" x14ac:dyDescent="0.25">
      <c r="A420" t="s">
        <v>1568</v>
      </c>
      <c r="B420" s="271" t="s">
        <v>2071</v>
      </c>
    </row>
    <row r="421" spans="1:2" x14ac:dyDescent="0.25">
      <c r="A421" t="s">
        <v>1569</v>
      </c>
      <c r="B421" s="271" t="s">
        <v>2072</v>
      </c>
    </row>
    <row r="422" spans="1:2" x14ac:dyDescent="0.25">
      <c r="A422" t="s">
        <v>1570</v>
      </c>
      <c r="B422" s="271" t="s">
        <v>2073</v>
      </c>
    </row>
    <row r="423" spans="1:2" x14ac:dyDescent="0.25">
      <c r="A423" t="s">
        <v>1571</v>
      </c>
      <c r="B423" s="271" t="s">
        <v>2074</v>
      </c>
    </row>
    <row r="424" spans="1:2" x14ac:dyDescent="0.25">
      <c r="A424" t="s">
        <v>1572</v>
      </c>
      <c r="B424" s="271" t="s">
        <v>2075</v>
      </c>
    </row>
    <row r="425" spans="1:2" x14ac:dyDescent="0.25">
      <c r="A425" t="s">
        <v>1573</v>
      </c>
      <c r="B425" s="271" t="s">
        <v>2076</v>
      </c>
    </row>
    <row r="426" spans="1:2" x14ac:dyDescent="0.25">
      <c r="A426" t="s">
        <v>1574</v>
      </c>
      <c r="B426" s="271" t="s">
        <v>2077</v>
      </c>
    </row>
    <row r="427" spans="1:2" x14ac:dyDescent="0.25">
      <c r="A427" t="s">
        <v>1575</v>
      </c>
      <c r="B427" s="271" t="s">
        <v>2078</v>
      </c>
    </row>
    <row r="428" spans="1:2" x14ac:dyDescent="0.25">
      <c r="A428" t="s">
        <v>1576</v>
      </c>
      <c r="B428" s="271" t="s">
        <v>2079</v>
      </c>
    </row>
    <row r="429" spans="1:2" x14ac:dyDescent="0.25">
      <c r="A429" t="s">
        <v>1577</v>
      </c>
      <c r="B429" s="271" t="s">
        <v>2080</v>
      </c>
    </row>
    <row r="430" spans="1:2" x14ac:dyDescent="0.25">
      <c r="A430" t="s">
        <v>1578</v>
      </c>
      <c r="B430" s="271" t="s">
        <v>2081</v>
      </c>
    </row>
    <row r="431" spans="1:2" x14ac:dyDescent="0.25">
      <c r="A431" t="s">
        <v>1579</v>
      </c>
      <c r="B431" s="271" t="s">
        <v>2082</v>
      </c>
    </row>
    <row r="432" spans="1:2" x14ac:dyDescent="0.25">
      <c r="A432" t="s">
        <v>1580</v>
      </c>
      <c r="B432" s="271" t="s">
        <v>2083</v>
      </c>
    </row>
    <row r="433" spans="1:2" x14ac:dyDescent="0.25">
      <c r="A433" t="s">
        <v>1581</v>
      </c>
      <c r="B433" s="271" t="s">
        <v>2084</v>
      </c>
    </row>
    <row r="434" spans="1:2" x14ac:dyDescent="0.25">
      <c r="A434" t="s">
        <v>1582</v>
      </c>
      <c r="B434" s="271" t="s">
        <v>2085</v>
      </c>
    </row>
    <row r="435" spans="1:2" x14ac:dyDescent="0.25">
      <c r="A435" t="s">
        <v>1583</v>
      </c>
      <c r="B435" s="271" t="s">
        <v>2086</v>
      </c>
    </row>
    <row r="436" spans="1:2" x14ac:dyDescent="0.25">
      <c r="A436" t="s">
        <v>1584</v>
      </c>
      <c r="B436" s="271" t="s">
        <v>2087</v>
      </c>
    </row>
    <row r="437" spans="1:2" x14ac:dyDescent="0.25">
      <c r="A437" t="s">
        <v>1585</v>
      </c>
      <c r="B437" s="271" t="s">
        <v>2088</v>
      </c>
    </row>
    <row r="438" spans="1:2" x14ac:dyDescent="0.25">
      <c r="A438" t="s">
        <v>1586</v>
      </c>
      <c r="B438" s="271" t="s">
        <v>2089</v>
      </c>
    </row>
    <row r="439" spans="1:2" x14ac:dyDescent="0.25">
      <c r="A439" t="s">
        <v>1587</v>
      </c>
      <c r="B439" s="271" t="s">
        <v>2090</v>
      </c>
    </row>
    <row r="440" spans="1:2" x14ac:dyDescent="0.25">
      <c r="A440" t="s">
        <v>1588</v>
      </c>
      <c r="B440" s="271" t="s">
        <v>2091</v>
      </c>
    </row>
    <row r="441" spans="1:2" x14ac:dyDescent="0.25">
      <c r="A441" t="s">
        <v>1589</v>
      </c>
      <c r="B441" s="271" t="s">
        <v>2092</v>
      </c>
    </row>
    <row r="442" spans="1:2" x14ac:dyDescent="0.25">
      <c r="A442" t="s">
        <v>1590</v>
      </c>
      <c r="B442" s="271" t="s">
        <v>2093</v>
      </c>
    </row>
    <row r="443" spans="1:2" x14ac:dyDescent="0.25">
      <c r="A443" t="s">
        <v>1591</v>
      </c>
      <c r="B443" s="271" t="s">
        <v>2094</v>
      </c>
    </row>
    <row r="444" spans="1:2" x14ac:dyDescent="0.25">
      <c r="A444" t="s">
        <v>1592</v>
      </c>
      <c r="B444" s="271" t="s">
        <v>2095</v>
      </c>
    </row>
    <row r="445" spans="1:2" x14ac:dyDescent="0.25">
      <c r="A445" t="s">
        <v>1593</v>
      </c>
      <c r="B445" s="271" t="s">
        <v>2096</v>
      </c>
    </row>
    <row r="446" spans="1:2" x14ac:dyDescent="0.25">
      <c r="A446" t="s">
        <v>1594</v>
      </c>
      <c r="B446" s="271" t="s">
        <v>2097</v>
      </c>
    </row>
    <row r="447" spans="1:2" x14ac:dyDescent="0.25">
      <c r="A447" t="s">
        <v>1595</v>
      </c>
      <c r="B447" s="271" t="s">
        <v>2098</v>
      </c>
    </row>
    <row r="448" spans="1:2" x14ac:dyDescent="0.25">
      <c r="A448" t="s">
        <v>1596</v>
      </c>
      <c r="B448" s="271" t="s">
        <v>2099</v>
      </c>
    </row>
    <row r="449" spans="1:2" x14ac:dyDescent="0.25">
      <c r="A449" t="s">
        <v>1597</v>
      </c>
      <c r="B449" s="271" t="s">
        <v>2100</v>
      </c>
    </row>
    <row r="450" spans="1:2" x14ac:dyDescent="0.25">
      <c r="A450" t="s">
        <v>1598</v>
      </c>
      <c r="B450" s="271" t="s">
        <v>2101</v>
      </c>
    </row>
    <row r="451" spans="1:2" x14ac:dyDescent="0.25">
      <c r="A451" t="s">
        <v>1599</v>
      </c>
      <c r="B451" s="271" t="s">
        <v>2102</v>
      </c>
    </row>
    <row r="452" spans="1:2" x14ac:dyDescent="0.25">
      <c r="A452" t="s">
        <v>1600</v>
      </c>
      <c r="B452" s="271" t="s">
        <v>2103</v>
      </c>
    </row>
    <row r="453" spans="1:2" x14ac:dyDescent="0.25">
      <c r="A453" t="s">
        <v>1601</v>
      </c>
      <c r="B453" s="271" t="s">
        <v>2104</v>
      </c>
    </row>
    <row r="454" spans="1:2" x14ac:dyDescent="0.25">
      <c r="A454" t="s">
        <v>1602</v>
      </c>
      <c r="B454" s="271" t="s">
        <v>2105</v>
      </c>
    </row>
    <row r="455" spans="1:2" x14ac:dyDescent="0.25">
      <c r="A455" t="s">
        <v>1603</v>
      </c>
      <c r="B455" s="271" t="s">
        <v>2106</v>
      </c>
    </row>
    <row r="456" spans="1:2" x14ac:dyDescent="0.25">
      <c r="A456" t="s">
        <v>1604</v>
      </c>
      <c r="B456" s="271" t="s">
        <v>2107</v>
      </c>
    </row>
    <row r="457" spans="1:2" x14ac:dyDescent="0.25">
      <c r="A457" t="s">
        <v>1605</v>
      </c>
      <c r="B457" s="271" t="s">
        <v>2108</v>
      </c>
    </row>
    <row r="458" spans="1:2" x14ac:dyDescent="0.25">
      <c r="A458" t="s">
        <v>1606</v>
      </c>
      <c r="B458" s="271" t="s">
        <v>2109</v>
      </c>
    </row>
    <row r="459" spans="1:2" x14ac:dyDescent="0.25">
      <c r="A459" t="s">
        <v>1607</v>
      </c>
      <c r="B459" s="271" t="s">
        <v>2110</v>
      </c>
    </row>
    <row r="460" spans="1:2" x14ac:dyDescent="0.25">
      <c r="A460" t="s">
        <v>1608</v>
      </c>
      <c r="B460" s="271" t="s">
        <v>2111</v>
      </c>
    </row>
    <row r="461" spans="1:2" x14ac:dyDescent="0.25">
      <c r="A461" t="s">
        <v>1609</v>
      </c>
      <c r="B461" s="271" t="s">
        <v>2112</v>
      </c>
    </row>
    <row r="462" spans="1:2" x14ac:dyDescent="0.25">
      <c r="A462" t="s">
        <v>1610</v>
      </c>
      <c r="B462" s="271" t="s">
        <v>2113</v>
      </c>
    </row>
    <row r="463" spans="1:2" x14ac:dyDescent="0.25">
      <c r="A463" t="s">
        <v>1611</v>
      </c>
      <c r="B463" s="271" t="s">
        <v>2114</v>
      </c>
    </row>
    <row r="464" spans="1:2" x14ac:dyDescent="0.25">
      <c r="A464" t="s">
        <v>1612</v>
      </c>
      <c r="B464" s="271" t="s">
        <v>2115</v>
      </c>
    </row>
    <row r="465" spans="1:2" x14ac:dyDescent="0.25">
      <c r="A465" t="s">
        <v>1613</v>
      </c>
      <c r="B465" s="271" t="s">
        <v>2116</v>
      </c>
    </row>
    <row r="466" spans="1:2" x14ac:dyDescent="0.25">
      <c r="A466" t="s">
        <v>1614</v>
      </c>
      <c r="B466" s="271" t="s">
        <v>2117</v>
      </c>
    </row>
    <row r="467" spans="1:2" x14ac:dyDescent="0.25">
      <c r="A467" t="s">
        <v>1615</v>
      </c>
      <c r="B467" s="271" t="s">
        <v>2118</v>
      </c>
    </row>
    <row r="468" spans="1:2" x14ac:dyDescent="0.25">
      <c r="A468" t="s">
        <v>1616</v>
      </c>
      <c r="B468" s="271" t="s">
        <v>2119</v>
      </c>
    </row>
    <row r="469" spans="1:2" x14ac:dyDescent="0.25">
      <c r="A469" t="s">
        <v>1617</v>
      </c>
      <c r="B469" s="271" t="s">
        <v>2120</v>
      </c>
    </row>
    <row r="470" spans="1:2" x14ac:dyDescent="0.25">
      <c r="A470" t="s">
        <v>1618</v>
      </c>
      <c r="B470" s="271" t="s">
        <v>2121</v>
      </c>
    </row>
    <row r="471" spans="1:2" x14ac:dyDescent="0.25">
      <c r="A471" t="s">
        <v>1619</v>
      </c>
      <c r="B471" s="271" t="s">
        <v>2122</v>
      </c>
    </row>
    <row r="472" spans="1:2" x14ac:dyDescent="0.25">
      <c r="A472" t="s">
        <v>1620</v>
      </c>
      <c r="B472" s="271" t="s">
        <v>2123</v>
      </c>
    </row>
    <row r="473" spans="1:2" x14ac:dyDescent="0.25">
      <c r="A473" t="s">
        <v>1621</v>
      </c>
      <c r="B473" s="271" t="s">
        <v>2124</v>
      </c>
    </row>
    <row r="474" spans="1:2" x14ac:dyDescent="0.25">
      <c r="A474" t="s">
        <v>1622</v>
      </c>
      <c r="B474" s="271" t="s">
        <v>2125</v>
      </c>
    </row>
    <row r="475" spans="1:2" x14ac:dyDescent="0.25">
      <c r="A475" t="s">
        <v>1623</v>
      </c>
      <c r="B475" s="271" t="s">
        <v>2126</v>
      </c>
    </row>
    <row r="476" spans="1:2" x14ac:dyDescent="0.25">
      <c r="A476" t="s">
        <v>1624</v>
      </c>
      <c r="B476" s="271" t="s">
        <v>2127</v>
      </c>
    </row>
    <row r="477" spans="1:2" x14ac:dyDescent="0.25">
      <c r="A477" t="s">
        <v>1625</v>
      </c>
      <c r="B477" s="271" t="s">
        <v>2128</v>
      </c>
    </row>
    <row r="478" spans="1:2" x14ac:dyDescent="0.25">
      <c r="A478" t="s">
        <v>1626</v>
      </c>
      <c r="B478" s="271" t="s">
        <v>2129</v>
      </c>
    </row>
    <row r="479" spans="1:2" x14ac:dyDescent="0.25">
      <c r="A479" t="s">
        <v>1627</v>
      </c>
      <c r="B479" s="271" t="s">
        <v>2130</v>
      </c>
    </row>
    <row r="480" spans="1:2" x14ac:dyDescent="0.25">
      <c r="A480" t="s">
        <v>1628</v>
      </c>
      <c r="B480" s="271" t="s">
        <v>2131</v>
      </c>
    </row>
    <row r="481" spans="1:2" x14ac:dyDescent="0.25">
      <c r="A481" t="s">
        <v>1629</v>
      </c>
      <c r="B481" s="271" t="s">
        <v>2132</v>
      </c>
    </row>
    <row r="482" spans="1:2" x14ac:dyDescent="0.25">
      <c r="A482" t="s">
        <v>1630</v>
      </c>
      <c r="B482" s="271" t="s">
        <v>2133</v>
      </c>
    </row>
    <row r="483" spans="1:2" x14ac:dyDescent="0.25">
      <c r="A483" t="s">
        <v>1631</v>
      </c>
      <c r="B483" s="271" t="s">
        <v>2134</v>
      </c>
    </row>
    <row r="484" spans="1:2" x14ac:dyDescent="0.25">
      <c r="A484" t="s">
        <v>1632</v>
      </c>
      <c r="B484" s="271" t="s">
        <v>2135</v>
      </c>
    </row>
    <row r="485" spans="1:2" x14ac:dyDescent="0.25">
      <c r="A485" t="s">
        <v>1633</v>
      </c>
      <c r="B485" s="271" t="s">
        <v>2136</v>
      </c>
    </row>
    <row r="486" spans="1:2" x14ac:dyDescent="0.25">
      <c r="A486" t="s">
        <v>1634</v>
      </c>
      <c r="B486" s="271" t="s">
        <v>2137</v>
      </c>
    </row>
    <row r="487" spans="1:2" x14ac:dyDescent="0.25">
      <c r="A487" t="s">
        <v>1635</v>
      </c>
      <c r="B487" s="271" t="s">
        <v>2138</v>
      </c>
    </row>
    <row r="488" spans="1:2" x14ac:dyDescent="0.25">
      <c r="A488" t="s">
        <v>1636</v>
      </c>
      <c r="B488" s="271" t="s">
        <v>2139</v>
      </c>
    </row>
    <row r="489" spans="1:2" x14ac:dyDescent="0.25">
      <c r="A489" t="s">
        <v>1637</v>
      </c>
      <c r="B489" s="271" t="s">
        <v>2140</v>
      </c>
    </row>
    <row r="490" spans="1:2" x14ac:dyDescent="0.25">
      <c r="A490" t="s">
        <v>1638</v>
      </c>
      <c r="B490" s="271" t="s">
        <v>2141</v>
      </c>
    </row>
    <row r="491" spans="1:2" x14ac:dyDescent="0.25">
      <c r="A491" t="s">
        <v>1639</v>
      </c>
      <c r="B491" s="271" t="s">
        <v>2142</v>
      </c>
    </row>
    <row r="492" spans="1:2" x14ac:dyDescent="0.25">
      <c r="A492" t="s">
        <v>1640</v>
      </c>
      <c r="B492" s="271" t="s">
        <v>2143</v>
      </c>
    </row>
    <row r="493" spans="1:2" x14ac:dyDescent="0.25">
      <c r="A493" t="s">
        <v>1641</v>
      </c>
      <c r="B493" s="271" t="s">
        <v>2144</v>
      </c>
    </row>
    <row r="494" spans="1:2" x14ac:dyDescent="0.25">
      <c r="A494" t="s">
        <v>1642</v>
      </c>
      <c r="B494" s="271" t="s">
        <v>2145</v>
      </c>
    </row>
    <row r="495" spans="1:2" x14ac:dyDescent="0.25">
      <c r="A495" t="s">
        <v>1643</v>
      </c>
      <c r="B495" s="271" t="s">
        <v>2146</v>
      </c>
    </row>
    <row r="496" spans="1:2" x14ac:dyDescent="0.25">
      <c r="A496" t="s">
        <v>1644</v>
      </c>
      <c r="B496" s="271" t="s">
        <v>2147</v>
      </c>
    </row>
    <row r="497" spans="1:2" x14ac:dyDescent="0.25">
      <c r="A497" t="s">
        <v>1645</v>
      </c>
      <c r="B497" s="271" t="s">
        <v>2148</v>
      </c>
    </row>
    <row r="498" spans="1:2" x14ac:dyDescent="0.25">
      <c r="A498" t="s">
        <v>1646</v>
      </c>
      <c r="B498" s="271" t="s">
        <v>2149</v>
      </c>
    </row>
    <row r="499" spans="1:2" x14ac:dyDescent="0.25">
      <c r="A499" t="s">
        <v>1647</v>
      </c>
      <c r="B499" s="271" t="s">
        <v>2150</v>
      </c>
    </row>
    <row r="500" spans="1:2" x14ac:dyDescent="0.25">
      <c r="A500" t="s">
        <v>1648</v>
      </c>
      <c r="B500" s="271" t="s">
        <v>2151</v>
      </c>
    </row>
    <row r="501" spans="1:2" x14ac:dyDescent="0.25">
      <c r="A501" t="s">
        <v>1649</v>
      </c>
      <c r="B501" s="271" t="s">
        <v>2152</v>
      </c>
    </row>
    <row r="502" spans="1:2" x14ac:dyDescent="0.25">
      <c r="A502" t="s">
        <v>1650</v>
      </c>
      <c r="B502" t="s">
        <v>1651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76"/>
  <sheetViews>
    <sheetView workbookViewId="0">
      <selection activeCell="C24" sqref="C24"/>
    </sheetView>
  </sheetViews>
  <sheetFormatPr defaultRowHeight="15" x14ac:dyDescent="0.25"/>
  <cols>
    <col min="1" max="1" width="2.7109375" customWidth="1"/>
    <col min="3" max="3" width="62.7109375" customWidth="1"/>
    <col min="4" max="4" width="18.28515625" bestFit="1" customWidth="1"/>
    <col min="6" max="6" width="11.5703125" bestFit="1" customWidth="1"/>
    <col min="7" max="7" width="29.42578125" bestFit="1" customWidth="1"/>
    <col min="8" max="8" width="27.7109375" bestFit="1" customWidth="1"/>
    <col min="9" max="9" width="49.85546875" bestFit="1" customWidth="1"/>
    <col min="10" max="10" width="8.28515625" customWidth="1"/>
    <col min="12" max="12" width="33.85546875" bestFit="1" customWidth="1"/>
    <col min="15" max="15" width="9.85546875" bestFit="1" customWidth="1"/>
    <col min="16" max="16" width="35.28515625" customWidth="1"/>
  </cols>
  <sheetData>
    <row r="1" spans="2:16" ht="15.75" x14ac:dyDescent="0.25">
      <c r="B1" t="s">
        <v>927</v>
      </c>
      <c r="C1" s="105" t="s">
        <v>679</v>
      </c>
      <c r="G1" s="256" t="s">
        <v>928</v>
      </c>
      <c r="H1" s="256"/>
      <c r="I1" s="256"/>
      <c r="J1" s="256"/>
    </row>
    <row r="2" spans="2:16" ht="25.5" x14ac:dyDescent="0.25">
      <c r="B2" s="105" t="s">
        <v>681</v>
      </c>
      <c r="C2" s="106" t="s">
        <v>929</v>
      </c>
      <c r="G2" s="107" t="s">
        <v>930</v>
      </c>
      <c r="H2" s="107" t="s">
        <v>931</v>
      </c>
      <c r="I2" s="107" t="s">
        <v>932</v>
      </c>
      <c r="J2" s="107" t="s">
        <v>933</v>
      </c>
      <c r="K2" s="107" t="s">
        <v>934</v>
      </c>
      <c r="L2" s="107" t="s">
        <v>935</v>
      </c>
    </row>
    <row r="3" spans="2:16" x14ac:dyDescent="0.25">
      <c r="B3" s="108" t="s">
        <v>682</v>
      </c>
      <c r="C3" s="105" t="s">
        <v>683</v>
      </c>
      <c r="G3" s="257" t="s">
        <v>936</v>
      </c>
      <c r="H3" s="258"/>
      <c r="I3" s="259"/>
      <c r="J3" s="260"/>
      <c r="K3" s="257" t="s">
        <v>937</v>
      </c>
      <c r="L3" s="258"/>
    </row>
    <row r="4" spans="2:16" x14ac:dyDescent="0.25">
      <c r="B4" s="108" t="s">
        <v>685</v>
      </c>
      <c r="C4" s="105" t="s">
        <v>686</v>
      </c>
      <c r="F4" s="248" t="s">
        <v>938</v>
      </c>
      <c r="G4" s="208" t="s">
        <v>683</v>
      </c>
      <c r="H4" s="110" t="s">
        <v>939</v>
      </c>
      <c r="I4" s="111" t="s">
        <v>940</v>
      </c>
      <c r="J4" s="112">
        <v>604</v>
      </c>
      <c r="K4" s="193" t="s">
        <v>941</v>
      </c>
      <c r="L4" s="192" t="s">
        <v>942</v>
      </c>
      <c r="M4" s="36" t="s">
        <v>278</v>
      </c>
      <c r="N4" s="62" t="s">
        <v>943</v>
      </c>
      <c r="O4" s="62"/>
      <c r="P4" s="62" t="s">
        <v>944</v>
      </c>
    </row>
    <row r="5" spans="2:16" x14ac:dyDescent="0.25">
      <c r="B5" s="108" t="s">
        <v>687</v>
      </c>
      <c r="C5" s="105" t="s">
        <v>945</v>
      </c>
      <c r="D5" t="s">
        <v>946</v>
      </c>
      <c r="F5" s="249"/>
      <c r="G5" s="209"/>
      <c r="H5" s="261" t="s">
        <v>947</v>
      </c>
      <c r="I5" s="115" t="s">
        <v>940</v>
      </c>
      <c r="J5" s="116">
        <v>605</v>
      </c>
      <c r="K5" s="193"/>
      <c r="L5" s="192"/>
      <c r="M5" s="36" t="s">
        <v>278</v>
      </c>
      <c r="N5" s="62" t="s">
        <v>468</v>
      </c>
      <c r="O5" s="62"/>
      <c r="P5" s="62" t="s">
        <v>469</v>
      </c>
    </row>
    <row r="6" spans="2:16" x14ac:dyDescent="0.25">
      <c r="B6" s="108" t="s">
        <v>690</v>
      </c>
      <c r="C6" s="105" t="s">
        <v>691</v>
      </c>
      <c r="F6" s="249"/>
      <c r="G6" s="209"/>
      <c r="H6" s="247"/>
      <c r="I6" s="115" t="s">
        <v>948</v>
      </c>
      <c r="J6" s="116">
        <v>606</v>
      </c>
      <c r="K6" s="193"/>
      <c r="L6" s="192"/>
    </row>
    <row r="7" spans="2:16" x14ac:dyDescent="0.25">
      <c r="B7" s="108" t="s">
        <v>692</v>
      </c>
      <c r="C7" s="105" t="s">
        <v>693</v>
      </c>
      <c r="F7" s="249"/>
      <c r="G7" s="209"/>
      <c r="H7" s="247"/>
      <c r="I7" s="115" t="s">
        <v>949</v>
      </c>
      <c r="J7" s="116">
        <v>607</v>
      </c>
      <c r="K7" s="193"/>
      <c r="L7" s="192"/>
    </row>
    <row r="8" spans="2:16" x14ac:dyDescent="0.25">
      <c r="B8" s="108" t="s">
        <v>694</v>
      </c>
      <c r="C8" s="105" t="s">
        <v>950</v>
      </c>
      <c r="F8" s="249"/>
      <c r="G8" s="209"/>
      <c r="H8" s="262"/>
      <c r="I8" s="115" t="s">
        <v>951</v>
      </c>
      <c r="J8" s="116">
        <v>608</v>
      </c>
      <c r="K8" s="193"/>
      <c r="L8" s="192"/>
    </row>
    <row r="9" spans="2:16" x14ac:dyDescent="0.25">
      <c r="B9" s="108" t="s">
        <v>697</v>
      </c>
      <c r="C9" s="105" t="s">
        <v>698</v>
      </c>
      <c r="F9" s="249"/>
      <c r="G9" s="209"/>
      <c r="H9" s="117" t="s">
        <v>952</v>
      </c>
      <c r="I9" s="118" t="s">
        <v>940</v>
      </c>
      <c r="J9" s="119">
        <v>609</v>
      </c>
      <c r="K9" s="193"/>
      <c r="L9" s="192"/>
    </row>
    <row r="10" spans="2:16" x14ac:dyDescent="0.25">
      <c r="B10" s="108" t="s">
        <v>699</v>
      </c>
      <c r="C10" s="105" t="s">
        <v>700</v>
      </c>
      <c r="F10" s="249"/>
      <c r="G10" s="209"/>
      <c r="H10" s="263" t="s">
        <v>953</v>
      </c>
      <c r="I10" s="120" t="s">
        <v>954</v>
      </c>
      <c r="J10" s="112">
        <v>610</v>
      </c>
      <c r="K10" s="193"/>
      <c r="L10" s="192"/>
    </row>
    <row r="11" spans="2:16" x14ac:dyDescent="0.25">
      <c r="B11" s="108" t="s">
        <v>955</v>
      </c>
      <c r="C11" s="105" t="s">
        <v>956</v>
      </c>
      <c r="F11" s="249"/>
      <c r="G11" s="209"/>
      <c r="H11" s="247"/>
      <c r="I11" s="115" t="s">
        <v>957</v>
      </c>
      <c r="J11" s="116">
        <v>611</v>
      </c>
      <c r="K11" s="193"/>
      <c r="L11" s="192"/>
    </row>
    <row r="12" spans="2:16" x14ac:dyDescent="0.25">
      <c r="B12" s="105" t="s">
        <v>703</v>
      </c>
      <c r="C12" s="106" t="s">
        <v>958</v>
      </c>
      <c r="F12" s="249"/>
      <c r="G12" s="209"/>
      <c r="H12" s="247"/>
      <c r="I12" s="118" t="s">
        <v>959</v>
      </c>
      <c r="J12" s="119">
        <v>612</v>
      </c>
      <c r="K12" s="193"/>
      <c r="L12" s="192"/>
    </row>
    <row r="13" spans="2:16" x14ac:dyDescent="0.25">
      <c r="B13" s="108" t="s">
        <v>704</v>
      </c>
      <c r="C13" s="105" t="s">
        <v>705</v>
      </c>
      <c r="F13" s="249"/>
      <c r="G13" s="209"/>
      <c r="H13" s="264" t="s">
        <v>960</v>
      </c>
      <c r="I13" s="120" t="s">
        <v>948</v>
      </c>
      <c r="J13" s="112">
        <v>613</v>
      </c>
      <c r="K13" s="193"/>
      <c r="L13" s="192"/>
    </row>
    <row r="14" spans="2:16" x14ac:dyDescent="0.25">
      <c r="B14" s="108" t="s">
        <v>706</v>
      </c>
      <c r="C14" s="105" t="s">
        <v>707</v>
      </c>
      <c r="F14" s="249"/>
      <c r="G14" s="209"/>
      <c r="H14" s="247"/>
      <c r="I14" s="115" t="s">
        <v>961</v>
      </c>
      <c r="J14" s="116">
        <v>614</v>
      </c>
      <c r="K14" s="193"/>
      <c r="L14" s="192"/>
    </row>
    <row r="15" spans="2:16" x14ac:dyDescent="0.25">
      <c r="B15" s="108" t="s">
        <v>708</v>
      </c>
      <c r="C15" s="105" t="s">
        <v>709</v>
      </c>
      <c r="F15" s="249"/>
      <c r="G15" s="237"/>
      <c r="H15" s="247"/>
      <c r="I15" s="118" t="s">
        <v>962</v>
      </c>
      <c r="J15" s="119">
        <v>615</v>
      </c>
      <c r="K15" s="193"/>
      <c r="L15" s="192"/>
    </row>
    <row r="16" spans="2:16" x14ac:dyDescent="0.25">
      <c r="B16" s="108" t="s">
        <v>710</v>
      </c>
      <c r="C16" s="105" t="s">
        <v>711</v>
      </c>
      <c r="F16" s="249"/>
      <c r="G16" s="222" t="s">
        <v>963</v>
      </c>
      <c r="H16" s="243" t="s">
        <v>964</v>
      </c>
      <c r="I16" s="120" t="s">
        <v>940</v>
      </c>
      <c r="J16" s="112">
        <v>616</v>
      </c>
      <c r="K16" s="193" t="s">
        <v>965</v>
      </c>
      <c r="L16" s="192" t="s">
        <v>686</v>
      </c>
    </row>
    <row r="17" spans="2:12" x14ac:dyDescent="0.25">
      <c r="B17" s="108" t="s">
        <v>712</v>
      </c>
      <c r="C17" s="105" t="s">
        <v>713</v>
      </c>
      <c r="F17" s="249"/>
      <c r="G17" s="223"/>
      <c r="H17" s="244"/>
      <c r="I17" s="115" t="s">
        <v>966</v>
      </c>
      <c r="J17" s="116">
        <v>617</v>
      </c>
      <c r="K17" s="193"/>
      <c r="L17" s="192"/>
    </row>
    <row r="18" spans="2:12" x14ac:dyDescent="0.25">
      <c r="B18" s="108" t="s">
        <v>714</v>
      </c>
      <c r="C18" s="105" t="s">
        <v>715</v>
      </c>
      <c r="D18" t="s">
        <v>946</v>
      </c>
      <c r="F18" s="249"/>
      <c r="G18" s="223"/>
      <c r="H18" s="245"/>
      <c r="I18" s="115" t="s">
        <v>948</v>
      </c>
      <c r="J18" s="116">
        <v>618</v>
      </c>
      <c r="K18" s="193"/>
      <c r="L18" s="192"/>
    </row>
    <row r="19" spans="2:12" x14ac:dyDescent="0.25">
      <c r="B19" s="108" t="s">
        <v>716</v>
      </c>
      <c r="C19" s="105" t="s">
        <v>717</v>
      </c>
      <c r="F19" s="249"/>
      <c r="G19" s="223"/>
      <c r="H19" s="246" t="s">
        <v>967</v>
      </c>
      <c r="I19" s="115" t="s">
        <v>968</v>
      </c>
      <c r="J19" s="116">
        <v>619</v>
      </c>
      <c r="K19" s="193"/>
      <c r="L19" s="192"/>
    </row>
    <row r="20" spans="2:12" x14ac:dyDescent="0.25">
      <c r="B20" s="105" t="s">
        <v>718</v>
      </c>
      <c r="C20" s="106" t="s">
        <v>969</v>
      </c>
      <c r="F20" s="249"/>
      <c r="G20" s="223"/>
      <c r="H20" s="247"/>
      <c r="I20" s="115" t="s">
        <v>970</v>
      </c>
      <c r="J20" s="116">
        <v>620</v>
      </c>
      <c r="K20" s="193"/>
      <c r="L20" s="192"/>
    </row>
    <row r="21" spans="2:12" ht="30" x14ac:dyDescent="0.25">
      <c r="B21" s="108" t="s">
        <v>720</v>
      </c>
      <c r="C21" s="105" t="s">
        <v>721</v>
      </c>
      <c r="F21" s="249"/>
      <c r="G21" s="223"/>
      <c r="H21" s="247"/>
      <c r="I21" s="115" t="s">
        <v>966</v>
      </c>
      <c r="J21" s="116">
        <v>621</v>
      </c>
      <c r="K21" s="193"/>
      <c r="L21" s="192"/>
    </row>
    <row r="22" spans="2:12" x14ac:dyDescent="0.25">
      <c r="B22" s="108" t="s">
        <v>722</v>
      </c>
      <c r="C22" s="105" t="s">
        <v>723</v>
      </c>
      <c r="F22" s="249"/>
      <c r="G22" s="223"/>
      <c r="H22" s="247"/>
      <c r="I22" s="115" t="s">
        <v>948</v>
      </c>
      <c r="J22" s="116">
        <v>622</v>
      </c>
      <c r="K22" s="193"/>
      <c r="L22" s="192"/>
    </row>
    <row r="23" spans="2:12" x14ac:dyDescent="0.25">
      <c r="B23" s="108" t="s">
        <v>724</v>
      </c>
      <c r="C23" s="105" t="s">
        <v>725</v>
      </c>
      <c r="F23" s="249"/>
      <c r="G23" s="223"/>
      <c r="H23" s="247"/>
      <c r="I23" s="115" t="s">
        <v>971</v>
      </c>
      <c r="J23" s="116">
        <v>634</v>
      </c>
      <c r="K23" s="193"/>
      <c r="L23" s="192"/>
    </row>
    <row r="24" spans="2:12" x14ac:dyDescent="0.25">
      <c r="B24" s="108" t="s">
        <v>726</v>
      </c>
      <c r="C24" s="105" t="s">
        <v>727</v>
      </c>
      <c r="F24" s="249"/>
      <c r="G24" s="223"/>
      <c r="H24" s="247"/>
      <c r="I24" s="115" t="s">
        <v>972</v>
      </c>
      <c r="J24" s="116">
        <v>623</v>
      </c>
      <c r="K24" s="193"/>
      <c r="L24" s="192"/>
    </row>
    <row r="25" spans="2:12" x14ac:dyDescent="0.25">
      <c r="F25" s="249"/>
      <c r="G25" s="223"/>
      <c r="H25" s="247"/>
      <c r="I25" s="115" t="s">
        <v>973</v>
      </c>
      <c r="J25" s="116">
        <v>624</v>
      </c>
      <c r="K25" s="193"/>
      <c r="L25" s="192"/>
    </row>
    <row r="26" spans="2:12" x14ac:dyDescent="0.25">
      <c r="F26" s="249"/>
      <c r="G26" s="223"/>
      <c r="H26" s="247"/>
      <c r="I26" s="115" t="s">
        <v>974</v>
      </c>
      <c r="J26" s="116">
        <v>625</v>
      </c>
      <c r="K26" s="193"/>
      <c r="L26" s="192"/>
    </row>
    <row r="27" spans="2:12" x14ac:dyDescent="0.25">
      <c r="F27" s="249"/>
      <c r="G27" s="223"/>
      <c r="H27" s="247"/>
      <c r="I27" s="115" t="s">
        <v>975</v>
      </c>
      <c r="J27" s="116">
        <v>626</v>
      </c>
      <c r="K27" s="193"/>
      <c r="L27" s="192"/>
    </row>
    <row r="28" spans="2:12" x14ac:dyDescent="0.25">
      <c r="F28" s="249"/>
      <c r="G28" s="223"/>
      <c r="H28" s="247"/>
      <c r="I28" s="115" t="s">
        <v>976</v>
      </c>
      <c r="J28" s="116">
        <v>627</v>
      </c>
      <c r="K28" s="193"/>
      <c r="L28" s="192"/>
    </row>
    <row r="29" spans="2:12" x14ac:dyDescent="0.25">
      <c r="F29" s="249"/>
      <c r="G29" s="223"/>
      <c r="H29" s="247"/>
      <c r="I29" s="118" t="s">
        <v>977</v>
      </c>
      <c r="J29" s="119">
        <v>628</v>
      </c>
      <c r="K29" s="193"/>
      <c r="L29" s="192"/>
    </row>
    <row r="30" spans="2:12" x14ac:dyDescent="0.25">
      <c r="F30" s="249"/>
      <c r="G30" s="265" t="s">
        <v>691</v>
      </c>
      <c r="H30" s="267" t="s">
        <v>978</v>
      </c>
      <c r="I30" s="120" t="s">
        <v>940</v>
      </c>
      <c r="J30" s="112">
        <v>629</v>
      </c>
      <c r="K30" s="193" t="s">
        <v>979</v>
      </c>
      <c r="L30" s="192" t="s">
        <v>691</v>
      </c>
    </row>
    <row r="31" spans="2:12" x14ac:dyDescent="0.25">
      <c r="F31" s="249"/>
      <c r="G31" s="223"/>
      <c r="H31" s="268"/>
      <c r="I31" s="115" t="s">
        <v>948</v>
      </c>
      <c r="J31" s="116">
        <v>630</v>
      </c>
      <c r="K31" s="193"/>
      <c r="L31" s="192"/>
    </row>
    <row r="32" spans="2:12" x14ac:dyDescent="0.25">
      <c r="F32" s="249"/>
      <c r="G32" s="223"/>
      <c r="H32" s="268"/>
      <c r="I32" s="115" t="s">
        <v>980</v>
      </c>
      <c r="J32" s="116">
        <v>631</v>
      </c>
      <c r="K32" s="193"/>
      <c r="L32" s="192"/>
    </row>
    <row r="33" spans="6:12" x14ac:dyDescent="0.25">
      <c r="F33" s="249"/>
      <c r="G33" s="223"/>
      <c r="H33" s="268"/>
      <c r="I33" s="115" t="s">
        <v>981</v>
      </c>
      <c r="J33" s="116">
        <v>632</v>
      </c>
      <c r="K33" s="193"/>
      <c r="L33" s="192"/>
    </row>
    <row r="34" spans="6:12" x14ac:dyDescent="0.25">
      <c r="F34" s="249"/>
      <c r="G34" s="223"/>
      <c r="H34" s="268"/>
      <c r="I34" s="115" t="s">
        <v>982</v>
      </c>
      <c r="J34" s="116">
        <v>633</v>
      </c>
      <c r="K34" s="193"/>
      <c r="L34" s="192"/>
    </row>
    <row r="35" spans="6:12" x14ac:dyDescent="0.25">
      <c r="F35" s="249"/>
      <c r="G35" s="223"/>
      <c r="H35" s="269" t="s">
        <v>983</v>
      </c>
      <c r="I35" s="115" t="s">
        <v>940</v>
      </c>
      <c r="J35" s="116">
        <v>635</v>
      </c>
      <c r="K35" s="193"/>
      <c r="L35" s="192"/>
    </row>
    <row r="36" spans="6:12" x14ac:dyDescent="0.25">
      <c r="F36" s="249"/>
      <c r="G36" s="223"/>
      <c r="H36" s="269"/>
      <c r="I36" s="115" t="s">
        <v>948</v>
      </c>
      <c r="J36" s="116">
        <v>636</v>
      </c>
      <c r="K36" s="193"/>
      <c r="L36" s="192"/>
    </row>
    <row r="37" spans="6:12" x14ac:dyDescent="0.25">
      <c r="F37" s="249"/>
      <c r="G37" s="223"/>
      <c r="H37" s="269"/>
      <c r="I37" s="115" t="s">
        <v>980</v>
      </c>
      <c r="J37" s="116">
        <v>637</v>
      </c>
      <c r="K37" s="193"/>
      <c r="L37" s="192"/>
    </row>
    <row r="38" spans="6:12" x14ac:dyDescent="0.25">
      <c r="F38" s="249"/>
      <c r="G38" s="223"/>
      <c r="H38" s="269"/>
      <c r="I38" s="115" t="s">
        <v>981</v>
      </c>
      <c r="J38" s="116">
        <v>638</v>
      </c>
      <c r="K38" s="193"/>
      <c r="L38" s="192"/>
    </row>
    <row r="39" spans="6:12" x14ac:dyDescent="0.25">
      <c r="F39" s="250"/>
      <c r="G39" s="266"/>
      <c r="H39" s="270"/>
      <c r="I39" s="121" t="s">
        <v>982</v>
      </c>
      <c r="J39" s="122">
        <v>639</v>
      </c>
      <c r="K39" s="193"/>
      <c r="L39" s="192"/>
    </row>
    <row r="40" spans="6:12" x14ac:dyDescent="0.25">
      <c r="F40" s="248" t="s">
        <v>984</v>
      </c>
      <c r="G40" s="251" t="s">
        <v>985</v>
      </c>
      <c r="H40" s="212" t="s">
        <v>956</v>
      </c>
      <c r="I40" s="120" t="s">
        <v>986</v>
      </c>
      <c r="J40" s="112">
        <v>640</v>
      </c>
      <c r="K40" s="254" t="s">
        <v>701</v>
      </c>
      <c r="L40" s="204" t="s">
        <v>702</v>
      </c>
    </row>
    <row r="41" spans="6:12" x14ac:dyDescent="0.25">
      <c r="F41" s="249"/>
      <c r="G41" s="252"/>
      <c r="H41" s="238"/>
      <c r="I41" s="115" t="s">
        <v>987</v>
      </c>
      <c r="J41" s="116">
        <v>641</v>
      </c>
      <c r="K41" s="254"/>
      <c r="L41" s="204"/>
    </row>
    <row r="42" spans="6:12" x14ac:dyDescent="0.25">
      <c r="F42" s="249"/>
      <c r="G42" s="252"/>
      <c r="H42" s="238"/>
      <c r="I42" s="115" t="s">
        <v>988</v>
      </c>
      <c r="J42" s="116">
        <v>642</v>
      </c>
      <c r="K42" s="254"/>
      <c r="L42" s="204"/>
    </row>
    <row r="43" spans="6:12" x14ac:dyDescent="0.25">
      <c r="F43" s="249"/>
      <c r="G43" s="252"/>
      <c r="H43" s="238" t="s">
        <v>989</v>
      </c>
      <c r="I43" s="115" t="s">
        <v>990</v>
      </c>
      <c r="J43" s="116">
        <v>643</v>
      </c>
      <c r="K43" s="193" t="s">
        <v>991</v>
      </c>
      <c r="L43" s="192" t="s">
        <v>693</v>
      </c>
    </row>
    <row r="44" spans="6:12" x14ac:dyDescent="0.25">
      <c r="F44" s="249"/>
      <c r="G44" s="252"/>
      <c r="H44" s="238"/>
      <c r="I44" s="115" t="s">
        <v>992</v>
      </c>
      <c r="J44" s="116">
        <v>644</v>
      </c>
      <c r="K44" s="193"/>
      <c r="L44" s="192"/>
    </row>
    <row r="45" spans="6:12" x14ac:dyDescent="0.25">
      <c r="F45" s="249"/>
      <c r="G45" s="252"/>
      <c r="H45" s="238"/>
      <c r="I45" s="115" t="s">
        <v>993</v>
      </c>
      <c r="J45" s="116">
        <v>645</v>
      </c>
      <c r="K45" s="193"/>
      <c r="L45" s="192"/>
    </row>
    <row r="46" spans="6:12" x14ac:dyDescent="0.25">
      <c r="F46" s="249"/>
      <c r="G46" s="252"/>
      <c r="H46" s="238"/>
      <c r="I46" s="115" t="s">
        <v>994</v>
      </c>
      <c r="J46" s="116">
        <v>646</v>
      </c>
      <c r="K46" s="193"/>
      <c r="L46" s="192"/>
    </row>
    <row r="47" spans="6:12" x14ac:dyDescent="0.25">
      <c r="F47" s="249"/>
      <c r="G47" s="252"/>
      <c r="H47" s="255" t="s">
        <v>995</v>
      </c>
      <c r="I47" s="115" t="s">
        <v>996</v>
      </c>
      <c r="J47" s="116">
        <v>647</v>
      </c>
      <c r="K47" s="193" t="s">
        <v>997</v>
      </c>
      <c r="L47" s="192" t="s">
        <v>950</v>
      </c>
    </row>
    <row r="48" spans="6:12" x14ac:dyDescent="0.25">
      <c r="F48" s="249"/>
      <c r="G48" s="252"/>
      <c r="H48" s="255"/>
      <c r="I48" s="115" t="s">
        <v>998</v>
      </c>
      <c r="J48" s="116">
        <v>648</v>
      </c>
      <c r="K48" s="193"/>
      <c r="L48" s="192"/>
    </row>
    <row r="49" spans="6:12" x14ac:dyDescent="0.25">
      <c r="F49" s="249"/>
      <c r="G49" s="252"/>
      <c r="H49" s="255"/>
      <c r="I49" s="115" t="s">
        <v>999</v>
      </c>
      <c r="J49" s="116">
        <v>649</v>
      </c>
      <c r="K49" s="193"/>
      <c r="L49" s="192"/>
    </row>
    <row r="50" spans="6:12" x14ac:dyDescent="0.25">
      <c r="F50" s="249"/>
      <c r="G50" s="252"/>
      <c r="H50" s="238" t="s">
        <v>1000</v>
      </c>
      <c r="I50" s="115" t="s">
        <v>1001</v>
      </c>
      <c r="J50" s="116">
        <v>650</v>
      </c>
      <c r="K50" s="193" t="s">
        <v>1002</v>
      </c>
      <c r="L50" s="192" t="s">
        <v>698</v>
      </c>
    </row>
    <row r="51" spans="6:12" x14ac:dyDescent="0.25">
      <c r="F51" s="249"/>
      <c r="G51" s="252"/>
      <c r="H51" s="238"/>
      <c r="I51" s="115" t="s">
        <v>1003</v>
      </c>
      <c r="J51" s="116">
        <v>651</v>
      </c>
      <c r="K51" s="193"/>
      <c r="L51" s="192"/>
    </row>
    <row r="52" spans="6:12" x14ac:dyDescent="0.25">
      <c r="F52" s="249"/>
      <c r="G52" s="252"/>
      <c r="H52" s="238" t="s">
        <v>1004</v>
      </c>
      <c r="I52" s="115" t="s">
        <v>1004</v>
      </c>
      <c r="J52" s="116">
        <v>652</v>
      </c>
      <c r="K52" s="193" t="s">
        <v>1005</v>
      </c>
      <c r="L52" s="192" t="s">
        <v>700</v>
      </c>
    </row>
    <row r="53" spans="6:12" x14ac:dyDescent="0.25">
      <c r="F53" s="250"/>
      <c r="G53" s="253"/>
      <c r="H53" s="239"/>
      <c r="I53" s="121" t="s">
        <v>1006</v>
      </c>
      <c r="J53" s="122">
        <v>653</v>
      </c>
      <c r="K53" s="193"/>
      <c r="L53" s="192"/>
    </row>
    <row r="54" spans="6:12" x14ac:dyDescent="0.25">
      <c r="G54" s="240" t="s">
        <v>1007</v>
      </c>
      <c r="H54" s="241"/>
      <c r="I54" s="241"/>
      <c r="J54" s="242"/>
      <c r="K54" s="123"/>
      <c r="L54" s="123"/>
    </row>
    <row r="55" spans="6:12" x14ac:dyDescent="0.25">
      <c r="F55" s="224" t="s">
        <v>1008</v>
      </c>
      <c r="G55" s="227" t="s">
        <v>1009</v>
      </c>
      <c r="H55" s="124" t="s">
        <v>1010</v>
      </c>
      <c r="I55" s="125"/>
      <c r="J55" s="126">
        <v>476</v>
      </c>
      <c r="K55" s="193" t="s">
        <v>611</v>
      </c>
      <c r="L55" s="192" t="s">
        <v>612</v>
      </c>
    </row>
    <row r="56" spans="6:12" x14ac:dyDescent="0.25">
      <c r="F56" s="225"/>
      <c r="G56" s="228"/>
      <c r="H56" s="127" t="s">
        <v>1011</v>
      </c>
      <c r="I56" s="128"/>
      <c r="J56" s="129">
        <v>477</v>
      </c>
      <c r="K56" s="193"/>
      <c r="L56" s="192"/>
    </row>
    <row r="57" spans="6:12" x14ac:dyDescent="0.25">
      <c r="F57" s="225"/>
      <c r="G57" s="228"/>
      <c r="H57" s="127" t="s">
        <v>1012</v>
      </c>
      <c r="I57" s="128"/>
      <c r="J57" s="129">
        <v>478</v>
      </c>
      <c r="K57" s="193"/>
      <c r="L57" s="192"/>
    </row>
    <row r="58" spans="6:12" x14ac:dyDescent="0.25">
      <c r="F58" s="225"/>
      <c r="G58" s="228"/>
      <c r="H58" s="130" t="s">
        <v>1013</v>
      </c>
      <c r="I58" s="131"/>
      <c r="J58" s="129">
        <v>479</v>
      </c>
      <c r="K58" s="193"/>
      <c r="L58" s="192"/>
    </row>
    <row r="59" spans="6:12" x14ac:dyDescent="0.25">
      <c r="F59" s="225"/>
      <c r="G59" s="228"/>
      <c r="H59" s="127" t="s">
        <v>1014</v>
      </c>
      <c r="I59" s="128"/>
      <c r="J59" s="129">
        <v>480</v>
      </c>
      <c r="K59" s="193"/>
      <c r="L59" s="192"/>
    </row>
    <row r="60" spans="6:12" x14ac:dyDescent="0.25">
      <c r="F60" s="226"/>
      <c r="G60" s="229"/>
      <c r="H60" s="132" t="s">
        <v>1015</v>
      </c>
      <c r="I60" s="133"/>
      <c r="J60" s="134">
        <v>481</v>
      </c>
      <c r="K60" s="193"/>
      <c r="L60" s="192"/>
    </row>
    <row r="61" spans="6:12" x14ac:dyDescent="0.25">
      <c r="G61" s="135" t="s">
        <v>1016</v>
      </c>
      <c r="H61" s="136" t="s">
        <v>1016</v>
      </c>
      <c r="I61" s="137"/>
      <c r="J61" s="138">
        <v>483</v>
      </c>
      <c r="K61" s="113" t="s">
        <v>614</v>
      </c>
      <c r="L61" s="114" t="s">
        <v>621</v>
      </c>
    </row>
    <row r="62" spans="6:12" ht="25.5" x14ac:dyDescent="0.25">
      <c r="G62" s="135" t="s">
        <v>623</v>
      </c>
      <c r="H62" s="136" t="s">
        <v>623</v>
      </c>
      <c r="I62" s="137"/>
      <c r="J62" s="138">
        <v>485</v>
      </c>
      <c r="K62" s="113" t="s">
        <v>616</v>
      </c>
      <c r="L62" s="114" t="s">
        <v>1017</v>
      </c>
    </row>
    <row r="63" spans="6:12" x14ac:dyDescent="0.25">
      <c r="G63" s="208" t="s">
        <v>1018</v>
      </c>
      <c r="H63" s="139" t="s">
        <v>630</v>
      </c>
      <c r="I63" s="125"/>
      <c r="J63" s="126">
        <v>528</v>
      </c>
      <c r="K63" s="193" t="s">
        <v>624</v>
      </c>
      <c r="L63" s="192" t="s">
        <v>625</v>
      </c>
    </row>
    <row r="64" spans="6:12" x14ac:dyDescent="0.25">
      <c r="G64" s="209"/>
      <c r="H64" s="140" t="s">
        <v>1019</v>
      </c>
      <c r="I64" s="128"/>
      <c r="J64" s="129">
        <v>487</v>
      </c>
      <c r="K64" s="193"/>
      <c r="L64" s="192"/>
    </row>
    <row r="65" spans="6:12" x14ac:dyDescent="0.25">
      <c r="G65" s="237"/>
      <c r="H65" s="141" t="s">
        <v>1020</v>
      </c>
      <c r="I65" s="133"/>
      <c r="J65" s="134">
        <v>509</v>
      </c>
      <c r="K65" s="193"/>
      <c r="L65" s="192"/>
    </row>
    <row r="66" spans="6:12" ht="25.5" x14ac:dyDescent="0.25">
      <c r="G66" s="109" t="s">
        <v>1021</v>
      </c>
      <c r="H66" s="142" t="s">
        <v>1022</v>
      </c>
      <c r="I66" s="143"/>
      <c r="J66" s="144">
        <v>537</v>
      </c>
      <c r="K66" s="113" t="s">
        <v>631</v>
      </c>
      <c r="L66" s="114" t="s">
        <v>632</v>
      </c>
    </row>
    <row r="67" spans="6:12" x14ac:dyDescent="0.25">
      <c r="G67" s="145" t="s">
        <v>1023</v>
      </c>
      <c r="H67" s="146" t="s">
        <v>1024</v>
      </c>
      <c r="I67" s="146"/>
      <c r="J67" s="147">
        <v>539</v>
      </c>
      <c r="K67" s="113" t="s">
        <v>635</v>
      </c>
      <c r="L67" s="114" t="s">
        <v>636</v>
      </c>
    </row>
    <row r="68" spans="6:12" x14ac:dyDescent="0.25">
      <c r="G68" s="230" t="s">
        <v>1025</v>
      </c>
      <c r="H68" s="231"/>
      <c r="I68" s="231"/>
      <c r="J68" s="232"/>
      <c r="K68" s="113"/>
      <c r="L68" s="114"/>
    </row>
    <row r="69" spans="6:12" x14ac:dyDescent="0.25">
      <c r="F69" s="186" t="s">
        <v>1026</v>
      </c>
      <c r="G69" s="233" t="s">
        <v>1027</v>
      </c>
      <c r="H69" s="201" t="s">
        <v>963</v>
      </c>
      <c r="I69" s="148" t="s">
        <v>1028</v>
      </c>
      <c r="J69" s="149">
        <v>424</v>
      </c>
      <c r="K69" s="193" t="s">
        <v>1029</v>
      </c>
      <c r="L69" s="192" t="s">
        <v>1030</v>
      </c>
    </row>
    <row r="70" spans="6:12" x14ac:dyDescent="0.25">
      <c r="F70" s="197"/>
      <c r="G70" s="234"/>
      <c r="H70" s="203"/>
      <c r="I70" s="150" t="s">
        <v>1031</v>
      </c>
      <c r="J70" s="151">
        <v>426</v>
      </c>
      <c r="K70" s="193"/>
      <c r="L70" s="192"/>
    </row>
    <row r="71" spans="6:12" x14ac:dyDescent="0.25">
      <c r="F71" s="197"/>
      <c r="G71" s="234"/>
      <c r="H71" s="205" t="s">
        <v>683</v>
      </c>
      <c r="I71" s="150" t="s">
        <v>1032</v>
      </c>
      <c r="J71" s="151">
        <v>425</v>
      </c>
      <c r="K71" s="193"/>
      <c r="L71" s="192"/>
    </row>
    <row r="72" spans="6:12" x14ac:dyDescent="0.25">
      <c r="F72" s="197"/>
      <c r="G72" s="234"/>
      <c r="H72" s="202"/>
      <c r="I72" s="150" t="s">
        <v>1033</v>
      </c>
      <c r="J72" s="151">
        <v>427</v>
      </c>
      <c r="K72" s="193"/>
      <c r="L72" s="192"/>
    </row>
    <row r="73" spans="6:12" x14ac:dyDescent="0.25">
      <c r="F73" s="197"/>
      <c r="G73" s="234"/>
      <c r="H73" s="206"/>
      <c r="I73" s="152" t="s">
        <v>957</v>
      </c>
      <c r="J73" s="153">
        <v>517</v>
      </c>
      <c r="K73" s="193"/>
      <c r="L73" s="192"/>
    </row>
    <row r="74" spans="6:12" x14ac:dyDescent="0.25">
      <c r="F74" s="197"/>
      <c r="G74" s="208" t="s">
        <v>1034</v>
      </c>
      <c r="H74" s="219" t="s">
        <v>1035</v>
      </c>
      <c r="I74" s="148" t="s">
        <v>1028</v>
      </c>
      <c r="J74" s="149">
        <v>444</v>
      </c>
      <c r="K74" s="193"/>
      <c r="L74" s="192"/>
    </row>
    <row r="75" spans="6:12" x14ac:dyDescent="0.25">
      <c r="F75" s="197"/>
      <c r="G75" s="209"/>
      <c r="H75" s="220"/>
      <c r="I75" s="150" t="s">
        <v>1031</v>
      </c>
      <c r="J75" s="151">
        <v>446</v>
      </c>
      <c r="K75" s="193"/>
      <c r="L75" s="192"/>
    </row>
    <row r="76" spans="6:12" x14ac:dyDescent="0.25">
      <c r="F76" s="197"/>
      <c r="G76" s="209"/>
      <c r="H76" s="220"/>
      <c r="I76" s="150" t="s">
        <v>964</v>
      </c>
      <c r="J76" s="151">
        <v>654</v>
      </c>
      <c r="K76" s="193"/>
      <c r="L76" s="192"/>
    </row>
    <row r="77" spans="6:12" x14ac:dyDescent="0.25">
      <c r="F77" s="197"/>
      <c r="G77" s="209"/>
      <c r="H77" s="221"/>
      <c r="I77" s="150" t="s">
        <v>1036</v>
      </c>
      <c r="J77" s="151">
        <v>473</v>
      </c>
      <c r="K77" s="193"/>
      <c r="L77" s="192"/>
    </row>
    <row r="78" spans="6:12" x14ac:dyDescent="0.25">
      <c r="F78" s="197"/>
      <c r="G78" s="209"/>
      <c r="H78" s="217" t="s">
        <v>683</v>
      </c>
      <c r="I78" s="150" t="s">
        <v>1032</v>
      </c>
      <c r="J78" s="151">
        <v>445</v>
      </c>
      <c r="K78" s="193"/>
      <c r="L78" s="192"/>
    </row>
    <row r="79" spans="6:12" x14ac:dyDescent="0.25">
      <c r="F79" s="197"/>
      <c r="G79" s="209"/>
      <c r="H79" s="218"/>
      <c r="I79" s="150" t="s">
        <v>1033</v>
      </c>
      <c r="J79" s="151">
        <v>451</v>
      </c>
      <c r="K79" s="193"/>
      <c r="L79" s="192"/>
    </row>
    <row r="80" spans="6:12" x14ac:dyDescent="0.25">
      <c r="F80" s="197"/>
      <c r="G80" s="209"/>
      <c r="H80" s="218"/>
      <c r="I80" s="150" t="s">
        <v>1037</v>
      </c>
      <c r="J80" s="151">
        <v>447</v>
      </c>
      <c r="K80" s="193"/>
      <c r="L80" s="192"/>
    </row>
    <row r="81" spans="6:12" x14ac:dyDescent="0.25">
      <c r="F81" s="197"/>
      <c r="G81" s="209"/>
      <c r="H81" s="218"/>
      <c r="I81" s="150" t="s">
        <v>952</v>
      </c>
      <c r="J81" s="151">
        <v>449</v>
      </c>
      <c r="K81" s="193"/>
      <c r="L81" s="192"/>
    </row>
    <row r="82" spans="6:12" x14ac:dyDescent="0.25">
      <c r="F82" s="197"/>
      <c r="G82" s="209"/>
      <c r="H82" s="218"/>
      <c r="I82" s="150" t="s">
        <v>1038</v>
      </c>
      <c r="J82" s="151">
        <v>655</v>
      </c>
      <c r="K82" s="193"/>
      <c r="L82" s="192"/>
    </row>
    <row r="83" spans="6:12" x14ac:dyDescent="0.25">
      <c r="F83" s="197"/>
      <c r="G83" s="209"/>
      <c r="H83" s="218"/>
      <c r="I83" s="150" t="s">
        <v>1039</v>
      </c>
      <c r="J83" s="151">
        <v>656</v>
      </c>
      <c r="K83" s="193"/>
      <c r="L83" s="192"/>
    </row>
    <row r="84" spans="6:12" x14ac:dyDescent="0.25">
      <c r="F84" s="197"/>
      <c r="G84" s="209"/>
      <c r="H84" s="218"/>
      <c r="I84" s="152" t="s">
        <v>1040</v>
      </c>
      <c r="J84" s="153">
        <v>657</v>
      </c>
      <c r="K84" s="193"/>
      <c r="L84" s="192"/>
    </row>
    <row r="85" spans="6:12" x14ac:dyDescent="0.25">
      <c r="F85" s="197"/>
      <c r="G85" s="208" t="s">
        <v>1041</v>
      </c>
      <c r="H85" s="219" t="s">
        <v>1035</v>
      </c>
      <c r="I85" s="148" t="s">
        <v>1028</v>
      </c>
      <c r="J85" s="149">
        <v>574</v>
      </c>
      <c r="K85" s="193"/>
      <c r="L85" s="192"/>
    </row>
    <row r="86" spans="6:12" x14ac:dyDescent="0.25">
      <c r="F86" s="197"/>
      <c r="G86" s="235"/>
      <c r="H86" s="220"/>
      <c r="I86" s="150" t="s">
        <v>964</v>
      </c>
      <c r="J86" s="151">
        <v>658</v>
      </c>
      <c r="K86" s="193"/>
      <c r="L86" s="192"/>
    </row>
    <row r="87" spans="6:12" x14ac:dyDescent="0.25">
      <c r="F87" s="197"/>
      <c r="G87" s="235"/>
      <c r="H87" s="220"/>
      <c r="I87" s="150" t="s">
        <v>1031</v>
      </c>
      <c r="J87" s="151">
        <v>576</v>
      </c>
      <c r="K87" s="193"/>
      <c r="L87" s="192"/>
    </row>
    <row r="88" spans="6:12" x14ac:dyDescent="0.25">
      <c r="F88" s="197"/>
      <c r="G88" s="235"/>
      <c r="H88" s="221"/>
      <c r="I88" s="150" t="s">
        <v>1036</v>
      </c>
      <c r="J88" s="151">
        <v>577</v>
      </c>
      <c r="K88" s="193"/>
      <c r="L88" s="192"/>
    </row>
    <row r="89" spans="6:12" x14ac:dyDescent="0.25">
      <c r="F89" s="197"/>
      <c r="G89" s="235"/>
      <c r="H89" s="217" t="s">
        <v>683</v>
      </c>
      <c r="I89" s="150" t="s">
        <v>1032</v>
      </c>
      <c r="J89" s="151">
        <v>575</v>
      </c>
      <c r="K89" s="193"/>
      <c r="L89" s="192"/>
    </row>
    <row r="90" spans="6:12" x14ac:dyDescent="0.25">
      <c r="F90" s="197"/>
      <c r="G90" s="235"/>
      <c r="H90" s="218"/>
      <c r="I90" s="150" t="s">
        <v>1033</v>
      </c>
      <c r="J90" s="151">
        <v>581</v>
      </c>
      <c r="K90" s="193"/>
      <c r="L90" s="192"/>
    </row>
    <row r="91" spans="6:12" x14ac:dyDescent="0.25">
      <c r="F91" s="197"/>
      <c r="G91" s="235"/>
      <c r="H91" s="218"/>
      <c r="I91" s="150" t="s">
        <v>1037</v>
      </c>
      <c r="J91" s="151">
        <v>578</v>
      </c>
      <c r="K91" s="193"/>
      <c r="L91" s="192"/>
    </row>
    <row r="92" spans="6:12" x14ac:dyDescent="0.25">
      <c r="F92" s="197"/>
      <c r="G92" s="235"/>
      <c r="H92" s="218"/>
      <c r="I92" s="150" t="s">
        <v>952</v>
      </c>
      <c r="J92" s="151">
        <v>580</v>
      </c>
      <c r="K92" s="193"/>
      <c r="L92" s="192"/>
    </row>
    <row r="93" spans="6:12" x14ac:dyDescent="0.25">
      <c r="F93" s="197"/>
      <c r="G93" s="235"/>
      <c r="H93" s="218"/>
      <c r="I93" s="150" t="s">
        <v>1038</v>
      </c>
      <c r="J93" s="151">
        <v>659</v>
      </c>
      <c r="K93" s="193"/>
      <c r="L93" s="192"/>
    </row>
    <row r="94" spans="6:12" x14ac:dyDescent="0.25">
      <c r="F94" s="197"/>
      <c r="G94" s="235"/>
      <c r="H94" s="218"/>
      <c r="I94" s="150" t="s">
        <v>1039</v>
      </c>
      <c r="J94" s="151">
        <v>660</v>
      </c>
      <c r="K94" s="193"/>
      <c r="L94" s="192"/>
    </row>
    <row r="95" spans="6:12" x14ac:dyDescent="0.25">
      <c r="F95" s="197"/>
      <c r="G95" s="236"/>
      <c r="H95" s="218"/>
      <c r="I95" s="152" t="s">
        <v>1040</v>
      </c>
      <c r="J95" s="153">
        <v>661</v>
      </c>
      <c r="K95" s="193"/>
      <c r="L95" s="192"/>
    </row>
    <row r="96" spans="6:12" x14ac:dyDescent="0.25">
      <c r="F96" s="197"/>
      <c r="G96" s="208" t="s">
        <v>1042</v>
      </c>
      <c r="H96" s="219" t="s">
        <v>963</v>
      </c>
      <c r="I96" s="148" t="s">
        <v>1028</v>
      </c>
      <c r="J96" s="149">
        <v>558</v>
      </c>
      <c r="K96" s="193"/>
      <c r="L96" s="192"/>
    </row>
    <row r="97" spans="6:12" x14ac:dyDescent="0.25">
      <c r="F97" s="197"/>
      <c r="G97" s="209"/>
      <c r="H97" s="220"/>
      <c r="I97" s="150" t="s">
        <v>964</v>
      </c>
      <c r="J97" s="151">
        <v>662</v>
      </c>
      <c r="K97" s="193"/>
      <c r="L97" s="192"/>
    </row>
    <row r="98" spans="6:12" x14ac:dyDescent="0.25">
      <c r="F98" s="197"/>
      <c r="G98" s="209"/>
      <c r="H98" s="220"/>
      <c r="I98" s="150" t="s">
        <v>1031</v>
      </c>
      <c r="J98" s="151">
        <v>560</v>
      </c>
      <c r="K98" s="193"/>
      <c r="L98" s="192"/>
    </row>
    <row r="99" spans="6:12" x14ac:dyDescent="0.25">
      <c r="F99" s="197"/>
      <c r="G99" s="209"/>
      <c r="H99" s="221"/>
      <c r="I99" s="150" t="s">
        <v>1036</v>
      </c>
      <c r="J99" s="151">
        <v>561</v>
      </c>
      <c r="K99" s="193"/>
      <c r="L99" s="192"/>
    </row>
    <row r="100" spans="6:12" x14ac:dyDescent="0.25">
      <c r="F100" s="197"/>
      <c r="G100" s="209"/>
      <c r="H100" s="217" t="s">
        <v>683</v>
      </c>
      <c r="I100" s="150" t="s">
        <v>1032</v>
      </c>
      <c r="J100" s="151">
        <v>559</v>
      </c>
      <c r="K100" s="193"/>
      <c r="L100" s="192"/>
    </row>
    <row r="101" spans="6:12" x14ac:dyDescent="0.25">
      <c r="F101" s="197"/>
      <c r="G101" s="209"/>
      <c r="H101" s="218"/>
      <c r="I101" s="150" t="s">
        <v>1033</v>
      </c>
      <c r="J101" s="151">
        <v>565</v>
      </c>
      <c r="K101" s="193"/>
      <c r="L101" s="192"/>
    </row>
    <row r="102" spans="6:12" x14ac:dyDescent="0.25">
      <c r="F102" s="197"/>
      <c r="G102" s="209"/>
      <c r="H102" s="218"/>
      <c r="I102" s="150" t="s">
        <v>1037</v>
      </c>
      <c r="J102" s="151">
        <v>562</v>
      </c>
      <c r="K102" s="193"/>
      <c r="L102" s="192"/>
    </row>
    <row r="103" spans="6:12" x14ac:dyDescent="0.25">
      <c r="F103" s="197"/>
      <c r="G103" s="209"/>
      <c r="H103" s="218"/>
      <c r="I103" s="150" t="s">
        <v>952</v>
      </c>
      <c r="J103" s="151">
        <v>564</v>
      </c>
      <c r="K103" s="193"/>
      <c r="L103" s="192"/>
    </row>
    <row r="104" spans="6:12" x14ac:dyDescent="0.25">
      <c r="F104" s="197"/>
      <c r="G104" s="209"/>
      <c r="H104" s="218"/>
      <c r="I104" s="150" t="s">
        <v>1038</v>
      </c>
      <c r="J104" s="151">
        <v>663</v>
      </c>
      <c r="K104" s="193"/>
      <c r="L104" s="192"/>
    </row>
    <row r="105" spans="6:12" x14ac:dyDescent="0.25">
      <c r="F105" s="197"/>
      <c r="G105" s="209"/>
      <c r="H105" s="218"/>
      <c r="I105" s="150" t="s">
        <v>1039</v>
      </c>
      <c r="J105" s="151">
        <v>664</v>
      </c>
      <c r="K105" s="193"/>
      <c r="L105" s="192"/>
    </row>
    <row r="106" spans="6:12" x14ac:dyDescent="0.25">
      <c r="F106" s="197"/>
      <c r="G106" s="209"/>
      <c r="H106" s="218"/>
      <c r="I106" s="152" t="s">
        <v>1040</v>
      </c>
      <c r="J106" s="153">
        <v>665</v>
      </c>
      <c r="K106" s="193"/>
      <c r="L106" s="192"/>
    </row>
    <row r="107" spans="6:12" x14ac:dyDescent="0.25">
      <c r="F107" s="197"/>
      <c r="G107" s="222" t="s">
        <v>1043</v>
      </c>
      <c r="H107" s="201" t="s">
        <v>963</v>
      </c>
      <c r="I107" s="148" t="s">
        <v>1028</v>
      </c>
      <c r="J107" s="149">
        <v>542</v>
      </c>
      <c r="K107" s="193"/>
      <c r="L107" s="192"/>
    </row>
    <row r="108" spans="6:12" x14ac:dyDescent="0.25">
      <c r="F108" s="197"/>
      <c r="G108" s="223"/>
      <c r="H108" s="203"/>
      <c r="I108" s="150" t="s">
        <v>1031</v>
      </c>
      <c r="J108" s="151">
        <v>544</v>
      </c>
      <c r="K108" s="193"/>
      <c r="L108" s="192"/>
    </row>
    <row r="109" spans="6:12" x14ac:dyDescent="0.25">
      <c r="F109" s="197"/>
      <c r="G109" s="223"/>
      <c r="H109" s="205" t="s">
        <v>683</v>
      </c>
      <c r="I109" s="150" t="s">
        <v>1033</v>
      </c>
      <c r="J109" s="151">
        <v>548</v>
      </c>
      <c r="K109" s="193"/>
      <c r="L109" s="192"/>
    </row>
    <row r="110" spans="6:12" x14ac:dyDescent="0.25">
      <c r="F110" s="197"/>
      <c r="G110" s="223"/>
      <c r="H110" s="202"/>
      <c r="I110" s="150" t="s">
        <v>1032</v>
      </c>
      <c r="J110" s="151">
        <v>543</v>
      </c>
      <c r="K110" s="193"/>
      <c r="L110" s="192"/>
    </row>
    <row r="111" spans="6:12" x14ac:dyDescent="0.25">
      <c r="F111" s="197"/>
      <c r="G111" s="223"/>
      <c r="H111" s="202"/>
      <c r="I111" s="150" t="s">
        <v>954</v>
      </c>
      <c r="J111" s="151">
        <v>549</v>
      </c>
      <c r="K111" s="193"/>
      <c r="L111" s="192"/>
    </row>
    <row r="112" spans="6:12" x14ac:dyDescent="0.25">
      <c r="F112" s="198"/>
      <c r="G112" s="223"/>
      <c r="H112" s="202"/>
      <c r="I112" s="152" t="s">
        <v>957</v>
      </c>
      <c r="J112" s="153">
        <v>550</v>
      </c>
      <c r="K112" s="193"/>
      <c r="L112" s="192"/>
    </row>
    <row r="113" spans="6:12" x14ac:dyDescent="0.25">
      <c r="F113" s="186" t="s">
        <v>1044</v>
      </c>
      <c r="G113" s="208" t="s">
        <v>723</v>
      </c>
      <c r="H113" s="212" t="s">
        <v>963</v>
      </c>
      <c r="I113" s="154" t="s">
        <v>1045</v>
      </c>
      <c r="J113" s="149">
        <v>491</v>
      </c>
      <c r="K113" s="193" t="s">
        <v>1046</v>
      </c>
      <c r="L113" s="192" t="s">
        <v>1047</v>
      </c>
    </row>
    <row r="114" spans="6:12" x14ac:dyDescent="0.25">
      <c r="F114" s="197"/>
      <c r="G114" s="209"/>
      <c r="H114" s="213"/>
      <c r="I114" s="150" t="s">
        <v>964</v>
      </c>
      <c r="J114" s="151">
        <v>488</v>
      </c>
      <c r="K114" s="193"/>
      <c r="L114" s="192"/>
    </row>
    <row r="115" spans="6:12" x14ac:dyDescent="0.25">
      <c r="F115" s="197"/>
      <c r="G115" s="209"/>
      <c r="H115" s="213"/>
      <c r="I115" s="150" t="s">
        <v>1036</v>
      </c>
      <c r="J115" s="151">
        <v>474</v>
      </c>
      <c r="K115" s="193"/>
      <c r="L115" s="192"/>
    </row>
    <row r="116" spans="6:12" x14ac:dyDescent="0.25">
      <c r="F116" s="197"/>
      <c r="G116" s="209"/>
      <c r="H116" s="213"/>
      <c r="I116" s="150" t="s">
        <v>1048</v>
      </c>
      <c r="J116" s="151">
        <v>666</v>
      </c>
      <c r="K116" s="193"/>
      <c r="L116" s="192"/>
    </row>
    <row r="117" spans="6:12" x14ac:dyDescent="0.25">
      <c r="F117" s="197"/>
      <c r="G117" s="209"/>
      <c r="H117" s="214" t="s">
        <v>683</v>
      </c>
      <c r="I117" s="150" t="s">
        <v>1033</v>
      </c>
      <c r="J117" s="151">
        <v>460</v>
      </c>
      <c r="K117" s="193"/>
      <c r="L117" s="192"/>
    </row>
    <row r="118" spans="6:12" x14ac:dyDescent="0.25">
      <c r="F118" s="197"/>
      <c r="G118" s="209"/>
      <c r="H118" s="215"/>
      <c r="I118" s="150" t="s">
        <v>1037</v>
      </c>
      <c r="J118" s="151">
        <v>455</v>
      </c>
      <c r="K118" s="193"/>
      <c r="L118" s="192"/>
    </row>
    <row r="119" spans="6:12" x14ac:dyDescent="0.25">
      <c r="F119" s="197"/>
      <c r="G119" s="209"/>
      <c r="H119" s="215"/>
      <c r="I119" s="150" t="s">
        <v>1038</v>
      </c>
      <c r="J119" s="151">
        <v>667</v>
      </c>
      <c r="K119" s="193"/>
      <c r="L119" s="192"/>
    </row>
    <row r="120" spans="6:12" x14ac:dyDescent="0.25">
      <c r="F120" s="197"/>
      <c r="G120" s="209"/>
      <c r="H120" s="215"/>
      <c r="I120" s="150" t="s">
        <v>1039</v>
      </c>
      <c r="J120" s="151">
        <v>668</v>
      </c>
      <c r="K120" s="193"/>
      <c r="L120" s="192"/>
    </row>
    <row r="121" spans="6:12" x14ac:dyDescent="0.25">
      <c r="F121" s="197"/>
      <c r="G121" s="209"/>
      <c r="H121" s="215"/>
      <c r="I121" s="150" t="s">
        <v>1040</v>
      </c>
      <c r="J121" s="151">
        <v>669</v>
      </c>
      <c r="K121" s="193"/>
      <c r="L121" s="192"/>
    </row>
    <row r="122" spans="6:12" x14ac:dyDescent="0.25">
      <c r="F122" s="197"/>
      <c r="G122" s="209"/>
      <c r="H122" s="215"/>
      <c r="I122" s="150" t="s">
        <v>954</v>
      </c>
      <c r="J122" s="151">
        <v>458</v>
      </c>
      <c r="K122" s="193"/>
      <c r="L122" s="192"/>
    </row>
    <row r="123" spans="6:12" x14ac:dyDescent="0.25">
      <c r="F123" s="197"/>
      <c r="G123" s="210"/>
      <c r="H123" s="215"/>
      <c r="I123" s="155" t="s">
        <v>957</v>
      </c>
      <c r="J123" s="151">
        <v>459</v>
      </c>
      <c r="K123" s="193"/>
      <c r="L123" s="192"/>
    </row>
    <row r="124" spans="6:12" x14ac:dyDescent="0.25">
      <c r="F124" s="198"/>
      <c r="G124" s="211"/>
      <c r="H124" s="216"/>
      <c r="I124" s="156" t="s">
        <v>959</v>
      </c>
      <c r="J124" s="157">
        <v>512</v>
      </c>
      <c r="K124" s="193"/>
      <c r="L124" s="192"/>
    </row>
    <row r="125" spans="6:12" x14ac:dyDescent="0.25">
      <c r="F125" s="186" t="s">
        <v>1049</v>
      </c>
      <c r="G125" s="199" t="s">
        <v>1050</v>
      </c>
      <c r="H125" s="201" t="s">
        <v>963</v>
      </c>
      <c r="I125" s="148" t="s">
        <v>1028</v>
      </c>
      <c r="J125" s="149">
        <v>686</v>
      </c>
      <c r="K125" s="193" t="s">
        <v>1051</v>
      </c>
      <c r="L125" s="204" t="s">
        <v>1052</v>
      </c>
    </row>
    <row r="126" spans="6:12" x14ac:dyDescent="0.25">
      <c r="F126" s="197"/>
      <c r="G126" s="200"/>
      <c r="H126" s="202"/>
      <c r="I126" s="150" t="s">
        <v>964</v>
      </c>
      <c r="J126" s="151">
        <v>690</v>
      </c>
      <c r="K126" s="193"/>
      <c r="L126" s="204"/>
    </row>
    <row r="127" spans="6:12" x14ac:dyDescent="0.25">
      <c r="F127" s="197"/>
      <c r="G127" s="200"/>
      <c r="H127" s="202"/>
      <c r="I127" s="150" t="s">
        <v>1031</v>
      </c>
      <c r="J127" s="151">
        <v>688</v>
      </c>
      <c r="K127" s="193"/>
      <c r="L127" s="204"/>
    </row>
    <row r="128" spans="6:12" x14ac:dyDescent="0.25">
      <c r="F128" s="197"/>
      <c r="G128" s="200"/>
      <c r="H128" s="203"/>
      <c r="I128" s="150" t="s">
        <v>1036</v>
      </c>
      <c r="J128" s="151">
        <v>691</v>
      </c>
      <c r="K128" s="193"/>
      <c r="L128" s="204"/>
    </row>
    <row r="129" spans="6:12" x14ac:dyDescent="0.25">
      <c r="F129" s="197"/>
      <c r="G129" s="200"/>
      <c r="H129" s="205" t="s">
        <v>683</v>
      </c>
      <c r="I129" s="150" t="s">
        <v>1032</v>
      </c>
      <c r="J129" s="151">
        <v>687</v>
      </c>
      <c r="K129" s="193"/>
      <c r="L129" s="204"/>
    </row>
    <row r="130" spans="6:12" x14ac:dyDescent="0.25">
      <c r="F130" s="197"/>
      <c r="G130" s="200"/>
      <c r="H130" s="202"/>
      <c r="I130" s="150" t="s">
        <v>1033</v>
      </c>
      <c r="J130" s="151">
        <v>689</v>
      </c>
      <c r="K130" s="193"/>
      <c r="L130" s="204"/>
    </row>
    <row r="131" spans="6:12" x14ac:dyDescent="0.25">
      <c r="F131" s="197"/>
      <c r="G131" s="200"/>
      <c r="H131" s="202"/>
      <c r="I131" s="150" t="s">
        <v>1037</v>
      </c>
      <c r="J131" s="151">
        <v>692</v>
      </c>
      <c r="K131" s="193"/>
      <c r="L131" s="204"/>
    </row>
    <row r="132" spans="6:12" x14ac:dyDescent="0.25">
      <c r="F132" s="197"/>
      <c r="G132" s="200"/>
      <c r="H132" s="202"/>
      <c r="I132" s="150" t="s">
        <v>1038</v>
      </c>
      <c r="J132" s="151">
        <v>693</v>
      </c>
      <c r="K132" s="193"/>
      <c r="L132" s="204"/>
    </row>
    <row r="133" spans="6:12" x14ac:dyDescent="0.25">
      <c r="F133" s="197"/>
      <c r="G133" s="200"/>
      <c r="H133" s="202"/>
      <c r="I133" s="150" t="s">
        <v>1039</v>
      </c>
      <c r="J133" s="151">
        <v>694</v>
      </c>
      <c r="K133" s="193"/>
      <c r="L133" s="204"/>
    </row>
    <row r="134" spans="6:12" x14ac:dyDescent="0.25">
      <c r="F134" s="197"/>
      <c r="G134" s="200"/>
      <c r="H134" s="202"/>
      <c r="I134" s="150" t="s">
        <v>1040</v>
      </c>
      <c r="J134" s="151">
        <v>695</v>
      </c>
      <c r="K134" s="193"/>
      <c r="L134" s="204"/>
    </row>
    <row r="135" spans="6:12" x14ac:dyDescent="0.25">
      <c r="F135" s="197"/>
      <c r="G135" s="200"/>
      <c r="H135" s="202"/>
      <c r="I135" s="150" t="s">
        <v>954</v>
      </c>
      <c r="J135" s="151">
        <v>696</v>
      </c>
      <c r="K135" s="193"/>
      <c r="L135" s="204"/>
    </row>
    <row r="136" spans="6:12" x14ac:dyDescent="0.25">
      <c r="F136" s="197"/>
      <c r="G136" s="200"/>
      <c r="H136" s="206"/>
      <c r="I136" s="158" t="s">
        <v>957</v>
      </c>
      <c r="J136" s="153">
        <v>697</v>
      </c>
      <c r="K136" s="193"/>
      <c r="L136" s="204"/>
    </row>
    <row r="137" spans="6:12" x14ac:dyDescent="0.25">
      <c r="F137" s="197"/>
      <c r="G137" s="199" t="s">
        <v>1053</v>
      </c>
      <c r="H137" s="201" t="s">
        <v>963</v>
      </c>
      <c r="I137" s="148" t="s">
        <v>1028</v>
      </c>
      <c r="J137" s="159">
        <v>672</v>
      </c>
      <c r="K137" s="193"/>
      <c r="L137" s="204"/>
    </row>
    <row r="138" spans="6:12" x14ac:dyDescent="0.25">
      <c r="F138" s="197"/>
      <c r="G138" s="200"/>
      <c r="H138" s="202"/>
      <c r="I138" s="150" t="s">
        <v>964</v>
      </c>
      <c r="J138" s="160">
        <v>676</v>
      </c>
      <c r="K138" s="193"/>
      <c r="L138" s="204"/>
    </row>
    <row r="139" spans="6:12" x14ac:dyDescent="0.25">
      <c r="F139" s="197"/>
      <c r="G139" s="200"/>
      <c r="H139" s="202"/>
      <c r="I139" s="150" t="s">
        <v>1031</v>
      </c>
      <c r="J139" s="160">
        <v>674</v>
      </c>
      <c r="K139" s="193"/>
      <c r="L139" s="204"/>
    </row>
    <row r="140" spans="6:12" x14ac:dyDescent="0.25">
      <c r="F140" s="197"/>
      <c r="G140" s="200"/>
      <c r="H140" s="202"/>
      <c r="I140" s="150" t="s">
        <v>1054</v>
      </c>
      <c r="J140" s="160">
        <v>679</v>
      </c>
      <c r="K140" s="193"/>
      <c r="L140" s="204"/>
    </row>
    <row r="141" spans="6:12" x14ac:dyDescent="0.25">
      <c r="F141" s="197"/>
      <c r="G141" s="200"/>
      <c r="H141" s="203"/>
      <c r="I141" s="150" t="s">
        <v>1036</v>
      </c>
      <c r="J141" s="160">
        <v>677</v>
      </c>
      <c r="K141" s="193"/>
      <c r="L141" s="204"/>
    </row>
    <row r="142" spans="6:12" x14ac:dyDescent="0.25">
      <c r="F142" s="197"/>
      <c r="G142" s="200"/>
      <c r="H142" s="205" t="s">
        <v>1055</v>
      </c>
      <c r="I142" s="150" t="s">
        <v>1032</v>
      </c>
      <c r="J142" s="160">
        <v>673</v>
      </c>
      <c r="K142" s="193"/>
      <c r="L142" s="204"/>
    </row>
    <row r="143" spans="6:12" x14ac:dyDescent="0.25">
      <c r="F143" s="197"/>
      <c r="G143" s="200"/>
      <c r="H143" s="202"/>
      <c r="I143" s="150" t="s">
        <v>1033</v>
      </c>
      <c r="J143" s="160">
        <v>675</v>
      </c>
      <c r="K143" s="193"/>
      <c r="L143" s="204"/>
    </row>
    <row r="144" spans="6:12" x14ac:dyDescent="0.25">
      <c r="F144" s="197"/>
      <c r="G144" s="200"/>
      <c r="H144" s="202"/>
      <c r="I144" s="150" t="s">
        <v>1037</v>
      </c>
      <c r="J144" s="160">
        <v>678</v>
      </c>
      <c r="K144" s="193"/>
      <c r="L144" s="204"/>
    </row>
    <row r="145" spans="6:12" x14ac:dyDescent="0.25">
      <c r="F145" s="197"/>
      <c r="G145" s="200"/>
      <c r="H145" s="202"/>
      <c r="I145" s="150" t="s">
        <v>1038</v>
      </c>
      <c r="J145" s="160">
        <v>680</v>
      </c>
      <c r="K145" s="193"/>
      <c r="L145" s="204"/>
    </row>
    <row r="146" spans="6:12" x14ac:dyDescent="0.25">
      <c r="F146" s="197"/>
      <c r="G146" s="200"/>
      <c r="H146" s="202"/>
      <c r="I146" s="150" t="s">
        <v>1039</v>
      </c>
      <c r="J146" s="160">
        <v>681</v>
      </c>
      <c r="K146" s="193"/>
      <c r="L146" s="204"/>
    </row>
    <row r="147" spans="6:12" x14ac:dyDescent="0.25">
      <c r="F147" s="197"/>
      <c r="G147" s="200"/>
      <c r="H147" s="202"/>
      <c r="I147" s="150" t="s">
        <v>1040</v>
      </c>
      <c r="J147" s="160">
        <v>682</v>
      </c>
      <c r="K147" s="193"/>
      <c r="L147" s="204"/>
    </row>
    <row r="148" spans="6:12" x14ac:dyDescent="0.25">
      <c r="F148" s="197"/>
      <c r="G148" s="200"/>
      <c r="H148" s="202"/>
      <c r="I148" s="150" t="s">
        <v>954</v>
      </c>
      <c r="J148" s="160">
        <v>683</v>
      </c>
      <c r="K148" s="193"/>
      <c r="L148" s="204"/>
    </row>
    <row r="149" spans="6:12" x14ac:dyDescent="0.25">
      <c r="F149" s="197"/>
      <c r="G149" s="200"/>
      <c r="H149" s="202"/>
      <c r="I149" s="155" t="s">
        <v>957</v>
      </c>
      <c r="J149" s="160">
        <v>684</v>
      </c>
      <c r="K149" s="193"/>
      <c r="L149" s="204"/>
    </row>
    <row r="150" spans="6:12" x14ac:dyDescent="0.25">
      <c r="F150" s="198"/>
      <c r="G150" s="207"/>
      <c r="H150" s="206"/>
      <c r="I150" s="156" t="s">
        <v>959</v>
      </c>
      <c r="J150" s="161">
        <v>685</v>
      </c>
      <c r="K150" s="193"/>
      <c r="L150" s="204"/>
    </row>
    <row r="151" spans="6:12" x14ac:dyDescent="0.25">
      <c r="G151" s="183" t="s">
        <v>1055</v>
      </c>
      <c r="H151" s="184"/>
      <c r="I151" s="184"/>
      <c r="J151" s="185"/>
      <c r="K151" s="113"/>
      <c r="L151" s="114"/>
    </row>
    <row r="152" spans="6:12" x14ac:dyDescent="0.25">
      <c r="F152" s="186" t="s">
        <v>1056</v>
      </c>
      <c r="G152" s="162" t="s">
        <v>1057</v>
      </c>
      <c r="H152" s="163" t="s">
        <v>630</v>
      </c>
      <c r="I152" s="164"/>
      <c r="J152" s="165">
        <v>396</v>
      </c>
      <c r="K152" s="113" t="s">
        <v>704</v>
      </c>
      <c r="L152" s="114" t="s">
        <v>705</v>
      </c>
    </row>
    <row r="153" spans="6:12" x14ac:dyDescent="0.25">
      <c r="F153" s="187"/>
      <c r="G153" s="189" t="s">
        <v>1058</v>
      </c>
      <c r="H153" s="166" t="s">
        <v>1059</v>
      </c>
      <c r="I153" s="164"/>
      <c r="J153" s="165">
        <v>398</v>
      </c>
      <c r="K153" s="193" t="s">
        <v>706</v>
      </c>
      <c r="L153" s="192" t="s">
        <v>707</v>
      </c>
    </row>
    <row r="154" spans="6:12" x14ac:dyDescent="0.25">
      <c r="F154" s="187"/>
      <c r="G154" s="190"/>
      <c r="H154" s="167" t="s">
        <v>1060</v>
      </c>
      <c r="I154" s="168"/>
      <c r="J154" s="169">
        <v>399</v>
      </c>
      <c r="K154" s="193"/>
      <c r="L154" s="192"/>
    </row>
    <row r="155" spans="6:12" x14ac:dyDescent="0.25">
      <c r="F155" s="187"/>
      <c r="G155" s="190"/>
      <c r="H155" s="167" t="s">
        <v>1061</v>
      </c>
      <c r="I155" s="168"/>
      <c r="J155" s="169">
        <v>400</v>
      </c>
      <c r="K155" s="193"/>
      <c r="L155" s="192"/>
    </row>
    <row r="156" spans="6:12" ht="25.5" x14ac:dyDescent="0.25">
      <c r="F156" s="187"/>
      <c r="G156" s="190"/>
      <c r="H156" s="167" t="s">
        <v>1062</v>
      </c>
      <c r="I156" s="168"/>
      <c r="J156" s="169">
        <v>401</v>
      </c>
      <c r="K156" s="193"/>
      <c r="L156" s="192"/>
    </row>
    <row r="157" spans="6:12" x14ac:dyDescent="0.25">
      <c r="F157" s="187"/>
      <c r="G157" s="190"/>
      <c r="H157" s="167" t="s">
        <v>1063</v>
      </c>
      <c r="I157" s="168"/>
      <c r="J157" s="169">
        <v>402</v>
      </c>
      <c r="K157" s="193"/>
      <c r="L157" s="192"/>
    </row>
    <row r="158" spans="6:12" x14ac:dyDescent="0.25">
      <c r="F158" s="187"/>
      <c r="G158" s="191"/>
      <c r="H158" s="170" t="s">
        <v>1064</v>
      </c>
      <c r="I158" s="171"/>
      <c r="J158" s="172">
        <v>403</v>
      </c>
      <c r="K158" s="193"/>
      <c r="L158" s="192"/>
    </row>
    <row r="159" spans="6:12" x14ac:dyDescent="0.25">
      <c r="F159" s="187"/>
      <c r="G159" s="189" t="s">
        <v>1065</v>
      </c>
      <c r="H159" s="166" t="s">
        <v>1066</v>
      </c>
      <c r="I159" s="164"/>
      <c r="J159" s="165">
        <v>405</v>
      </c>
      <c r="K159" s="193" t="s">
        <v>708</v>
      </c>
      <c r="L159" s="192" t="s">
        <v>709</v>
      </c>
    </row>
    <row r="160" spans="6:12" x14ac:dyDescent="0.25">
      <c r="F160" s="187"/>
      <c r="G160" s="190"/>
      <c r="H160" s="167" t="s">
        <v>1067</v>
      </c>
      <c r="I160" s="168"/>
      <c r="J160" s="169">
        <v>406</v>
      </c>
      <c r="K160" s="193"/>
      <c r="L160" s="192"/>
    </row>
    <row r="161" spans="6:12" x14ac:dyDescent="0.25">
      <c r="F161" s="187"/>
      <c r="G161" s="190"/>
      <c r="H161" s="167" t="s">
        <v>1068</v>
      </c>
      <c r="I161" s="168"/>
      <c r="J161" s="169">
        <v>407</v>
      </c>
      <c r="K161" s="193"/>
      <c r="L161" s="192"/>
    </row>
    <row r="162" spans="6:12" x14ac:dyDescent="0.25">
      <c r="F162" s="187"/>
      <c r="G162" s="191"/>
      <c r="H162" s="173" t="s">
        <v>1069</v>
      </c>
      <c r="I162" s="174"/>
      <c r="J162" s="175">
        <v>408</v>
      </c>
      <c r="K162" s="193"/>
      <c r="L162" s="192"/>
    </row>
    <row r="163" spans="6:12" x14ac:dyDescent="0.25">
      <c r="F163" s="187"/>
      <c r="G163" s="194" t="s">
        <v>1070</v>
      </c>
      <c r="H163" s="166" t="s">
        <v>1071</v>
      </c>
      <c r="I163" s="164"/>
      <c r="J163" s="165">
        <v>410</v>
      </c>
      <c r="K163" s="193" t="s">
        <v>710</v>
      </c>
      <c r="L163" s="192" t="s">
        <v>711</v>
      </c>
    </row>
    <row r="164" spans="6:12" ht="25.5" x14ac:dyDescent="0.25">
      <c r="F164" s="187"/>
      <c r="G164" s="195"/>
      <c r="H164" s="167" t="s">
        <v>1072</v>
      </c>
      <c r="I164" s="168"/>
      <c r="J164" s="169">
        <v>411</v>
      </c>
      <c r="K164" s="193"/>
      <c r="L164" s="192"/>
    </row>
    <row r="165" spans="6:12" ht="25.5" x14ac:dyDescent="0.25">
      <c r="F165" s="187"/>
      <c r="G165" s="195"/>
      <c r="H165" s="167" t="s">
        <v>1073</v>
      </c>
      <c r="I165" s="168"/>
      <c r="J165" s="169">
        <v>412</v>
      </c>
      <c r="K165" s="193"/>
      <c r="L165" s="192"/>
    </row>
    <row r="166" spans="6:12" x14ac:dyDescent="0.25">
      <c r="F166" s="187"/>
      <c r="G166" s="196"/>
      <c r="H166" s="173" t="s">
        <v>1074</v>
      </c>
      <c r="I166" s="174"/>
      <c r="J166" s="175">
        <v>513</v>
      </c>
      <c r="K166" s="193"/>
      <c r="L166" s="192"/>
    </row>
    <row r="167" spans="6:12" x14ac:dyDescent="0.25">
      <c r="F167" s="187"/>
      <c r="G167" s="189" t="s">
        <v>1075</v>
      </c>
      <c r="H167" s="163" t="s">
        <v>1076</v>
      </c>
      <c r="I167" s="164"/>
      <c r="J167" s="165">
        <v>414</v>
      </c>
      <c r="K167" s="193" t="s">
        <v>712</v>
      </c>
      <c r="L167" s="192" t="s">
        <v>713</v>
      </c>
    </row>
    <row r="168" spans="6:12" x14ac:dyDescent="0.25">
      <c r="F168" s="187"/>
      <c r="G168" s="190"/>
      <c r="H168" s="176" t="s">
        <v>1077</v>
      </c>
      <c r="I168" s="168"/>
      <c r="J168" s="169">
        <v>415</v>
      </c>
      <c r="K168" s="193"/>
      <c r="L168" s="192"/>
    </row>
    <row r="169" spans="6:12" x14ac:dyDescent="0.25">
      <c r="F169" s="187"/>
      <c r="G169" s="190"/>
      <c r="H169" s="176" t="s">
        <v>1078</v>
      </c>
      <c r="I169" s="168"/>
      <c r="J169" s="169">
        <v>416</v>
      </c>
      <c r="K169" s="193"/>
      <c r="L169" s="192"/>
    </row>
    <row r="170" spans="6:12" ht="25.5" x14ac:dyDescent="0.25">
      <c r="F170" s="187"/>
      <c r="G170" s="190"/>
      <c r="H170" s="176" t="s">
        <v>1079</v>
      </c>
      <c r="I170" s="168"/>
      <c r="J170" s="169">
        <v>469</v>
      </c>
      <c r="K170" s="193"/>
      <c r="L170" s="192"/>
    </row>
    <row r="171" spans="6:12" ht="25.5" x14ac:dyDescent="0.25">
      <c r="F171" s="187"/>
      <c r="G171" s="190"/>
      <c r="H171" s="176" t="s">
        <v>1080</v>
      </c>
      <c r="I171" s="168"/>
      <c r="J171" s="169">
        <v>470</v>
      </c>
      <c r="K171" s="193"/>
      <c r="L171" s="192"/>
    </row>
    <row r="172" spans="6:12" x14ac:dyDescent="0.25">
      <c r="F172" s="187"/>
      <c r="G172" s="190"/>
      <c r="H172" s="176" t="s">
        <v>1081</v>
      </c>
      <c r="I172" s="168"/>
      <c r="J172" s="169">
        <v>514</v>
      </c>
      <c r="K172" s="193"/>
      <c r="L172" s="192"/>
    </row>
    <row r="173" spans="6:12" x14ac:dyDescent="0.25">
      <c r="F173" s="187"/>
      <c r="G173" s="190"/>
      <c r="H173" s="176" t="s">
        <v>1082</v>
      </c>
      <c r="I173" s="168"/>
      <c r="J173" s="169">
        <v>515</v>
      </c>
      <c r="K173" s="193"/>
      <c r="L173" s="192"/>
    </row>
    <row r="174" spans="6:12" x14ac:dyDescent="0.25">
      <c r="F174" s="187"/>
      <c r="G174" s="190"/>
      <c r="H174" s="177" t="s">
        <v>1083</v>
      </c>
      <c r="I174" s="174"/>
      <c r="J174" s="175">
        <v>516</v>
      </c>
      <c r="K174" s="193"/>
      <c r="L174" s="192"/>
    </row>
    <row r="175" spans="6:12" x14ac:dyDescent="0.25">
      <c r="F175" s="187"/>
      <c r="G175" s="191"/>
      <c r="H175" s="178" t="s">
        <v>1084</v>
      </c>
      <c r="I175" s="171"/>
      <c r="J175" s="172">
        <v>418</v>
      </c>
      <c r="K175" s="193"/>
      <c r="L175" s="192"/>
    </row>
    <row r="176" spans="6:12" x14ac:dyDescent="0.25">
      <c r="F176" s="188"/>
      <c r="G176" s="179" t="s">
        <v>1085</v>
      </c>
      <c r="H176" s="180" t="s">
        <v>1086</v>
      </c>
      <c r="I176" s="181"/>
      <c r="J176" s="182">
        <v>420</v>
      </c>
      <c r="K176" s="113" t="s">
        <v>716</v>
      </c>
      <c r="L176" s="114" t="s">
        <v>717</v>
      </c>
    </row>
  </sheetData>
  <mergeCells count="93">
    <mergeCell ref="G1:J1"/>
    <mergeCell ref="G3:J3"/>
    <mergeCell ref="K3:L3"/>
    <mergeCell ref="F4:F39"/>
    <mergeCell ref="G4:G15"/>
    <mergeCell ref="K4:K15"/>
    <mergeCell ref="L4:L15"/>
    <mergeCell ref="H5:H8"/>
    <mergeCell ref="H10:H12"/>
    <mergeCell ref="H13:H15"/>
    <mergeCell ref="G30:G39"/>
    <mergeCell ref="H30:H34"/>
    <mergeCell ref="K30:K39"/>
    <mergeCell ref="L30:L39"/>
    <mergeCell ref="H35:H39"/>
    <mergeCell ref="G16:G29"/>
    <mergeCell ref="H16:H18"/>
    <mergeCell ref="K16:K29"/>
    <mergeCell ref="L16:L29"/>
    <mergeCell ref="H19:H29"/>
    <mergeCell ref="F40:F53"/>
    <mergeCell ref="G40:G53"/>
    <mergeCell ref="H40:H42"/>
    <mergeCell ref="K40:K42"/>
    <mergeCell ref="L40:L42"/>
    <mergeCell ref="H43:H46"/>
    <mergeCell ref="K43:K46"/>
    <mergeCell ref="L43:L46"/>
    <mergeCell ref="H47:H49"/>
    <mergeCell ref="K47:K49"/>
    <mergeCell ref="G63:G65"/>
    <mergeCell ref="K63:K65"/>
    <mergeCell ref="L63:L65"/>
    <mergeCell ref="L47:L49"/>
    <mergeCell ref="H50:H51"/>
    <mergeCell ref="K50:K51"/>
    <mergeCell ref="L50:L51"/>
    <mergeCell ref="H52:H53"/>
    <mergeCell ref="K52:K53"/>
    <mergeCell ref="L52:L53"/>
    <mergeCell ref="G54:J54"/>
    <mergeCell ref="F55:F60"/>
    <mergeCell ref="G55:G60"/>
    <mergeCell ref="K55:K60"/>
    <mergeCell ref="L55:L60"/>
    <mergeCell ref="L69:L112"/>
    <mergeCell ref="H71:H73"/>
    <mergeCell ref="G74:G84"/>
    <mergeCell ref="H74:H77"/>
    <mergeCell ref="H78:H84"/>
    <mergeCell ref="G68:J68"/>
    <mergeCell ref="F69:F112"/>
    <mergeCell ref="G69:G73"/>
    <mergeCell ref="H69:H70"/>
    <mergeCell ref="K69:K112"/>
    <mergeCell ref="G85:G95"/>
    <mergeCell ref="H85:H88"/>
    <mergeCell ref="H89:H95"/>
    <mergeCell ref="G96:G106"/>
    <mergeCell ref="H96:H99"/>
    <mergeCell ref="H100:H106"/>
    <mergeCell ref="G107:G112"/>
    <mergeCell ref="H107:H108"/>
    <mergeCell ref="H109:H112"/>
    <mergeCell ref="F113:F124"/>
    <mergeCell ref="G113:G124"/>
    <mergeCell ref="H113:H116"/>
    <mergeCell ref="K113:K124"/>
    <mergeCell ref="L113:L124"/>
    <mergeCell ref="H117:H124"/>
    <mergeCell ref="F125:F150"/>
    <mergeCell ref="G125:G136"/>
    <mergeCell ref="H125:H128"/>
    <mergeCell ref="K125:K150"/>
    <mergeCell ref="L125:L150"/>
    <mergeCell ref="H129:H136"/>
    <mergeCell ref="G137:G150"/>
    <mergeCell ref="H137:H141"/>
    <mergeCell ref="H142:H150"/>
    <mergeCell ref="G151:J151"/>
    <mergeCell ref="F152:F176"/>
    <mergeCell ref="G153:G158"/>
    <mergeCell ref="G167:G175"/>
    <mergeCell ref="L167:L175"/>
    <mergeCell ref="L153:L158"/>
    <mergeCell ref="G159:G162"/>
    <mergeCell ref="K159:K162"/>
    <mergeCell ref="L159:L162"/>
    <mergeCell ref="G163:G166"/>
    <mergeCell ref="K163:K166"/>
    <mergeCell ref="L163:L166"/>
    <mergeCell ref="K153:K158"/>
    <mergeCell ref="K167:K175"/>
  </mergeCells>
  <conditionalFormatting sqref="G125:I125 I127">
    <cfRule type="cellIs" dxfId="6" priority="6" operator="lessThan">
      <formula>0</formula>
    </cfRule>
  </conditionalFormatting>
  <conditionalFormatting sqref="H69:I69 I107:I109 I111:I112 G137:I137 I139">
    <cfRule type="cellIs" dxfId="5" priority="8" operator="lessThan">
      <formula>0</formula>
    </cfRule>
  </conditionalFormatting>
  <conditionalFormatting sqref="I117">
    <cfRule type="cellIs" dxfId="4" priority="5" operator="lessThan">
      <formula>0</formula>
    </cfRule>
  </conditionalFormatting>
  <conditionalFormatting sqref="I130">
    <cfRule type="cellIs" dxfId="3" priority="4" operator="lessThan">
      <formula>0</formula>
    </cfRule>
  </conditionalFormatting>
  <conditionalFormatting sqref="I143">
    <cfRule type="cellIs" dxfId="2" priority="3" operator="lessThan">
      <formula>0</formula>
    </cfRule>
  </conditionalFormatting>
  <conditionalFormatting sqref="J1:J176">
    <cfRule type="duplicateValues" dxfId="1" priority="2"/>
  </conditionalFormatting>
  <conditionalFormatting sqref="K2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EB73-5199-4AC5-95D1-C530EDB35E3F}">
  <dimension ref="A1:G201"/>
  <sheetViews>
    <sheetView workbookViewId="0">
      <selection activeCell="A7" sqref="A7"/>
    </sheetView>
  </sheetViews>
  <sheetFormatPr defaultRowHeight="15" x14ac:dyDescent="0.25"/>
  <cols>
    <col min="1" max="1" width="9.85546875" bestFit="1" customWidth="1"/>
    <col min="2" max="2" width="16.140625" bestFit="1" customWidth="1"/>
    <col min="3" max="3" width="70.28515625" bestFit="1" customWidth="1"/>
    <col min="7" max="7" width="42.28515625" customWidth="1"/>
  </cols>
  <sheetData>
    <row r="1" spans="1:7" x14ac:dyDescent="0.25">
      <c r="A1" t="s">
        <v>123</v>
      </c>
      <c r="B1" t="s">
        <v>125</v>
      </c>
      <c r="C1" t="s">
        <v>126</v>
      </c>
      <c r="D1">
        <v>2</v>
      </c>
      <c r="E1" t="s">
        <v>124</v>
      </c>
      <c r="F1" t="s">
        <v>127</v>
      </c>
      <c r="G1" t="s">
        <v>124</v>
      </c>
    </row>
    <row r="2" spans="1:7" x14ac:dyDescent="0.25">
      <c r="A2" t="s">
        <v>130</v>
      </c>
      <c r="B2" t="s">
        <v>132</v>
      </c>
      <c r="C2" t="s">
        <v>133</v>
      </c>
      <c r="D2">
        <v>49</v>
      </c>
      <c r="E2" t="s">
        <v>131</v>
      </c>
      <c r="F2" t="s">
        <v>134</v>
      </c>
      <c r="G2" t="s">
        <v>131</v>
      </c>
    </row>
    <row r="3" spans="1:7" x14ac:dyDescent="0.25">
      <c r="A3" t="s">
        <v>136</v>
      </c>
      <c r="B3" t="s">
        <v>132</v>
      </c>
      <c r="C3" t="s">
        <v>133</v>
      </c>
      <c r="D3">
        <v>50</v>
      </c>
      <c r="E3" t="s">
        <v>137</v>
      </c>
      <c r="F3" t="s">
        <v>134</v>
      </c>
      <c r="G3" t="s">
        <v>137</v>
      </c>
    </row>
    <row r="4" spans="1:7" x14ac:dyDescent="0.25">
      <c r="A4" t="s">
        <v>140</v>
      </c>
      <c r="B4" t="s">
        <v>125</v>
      </c>
      <c r="C4" t="s">
        <v>126</v>
      </c>
      <c r="D4">
        <v>532</v>
      </c>
      <c r="E4" t="s">
        <v>141</v>
      </c>
      <c r="F4" t="s">
        <v>127</v>
      </c>
      <c r="G4" t="s">
        <v>141</v>
      </c>
    </row>
    <row r="5" spans="1:7" x14ac:dyDescent="0.25">
      <c r="A5" t="s">
        <v>142</v>
      </c>
      <c r="B5" t="s">
        <v>125</v>
      </c>
      <c r="C5" t="s">
        <v>126</v>
      </c>
      <c r="D5">
        <v>39</v>
      </c>
      <c r="E5" t="s">
        <v>143</v>
      </c>
      <c r="F5" t="s">
        <v>127</v>
      </c>
      <c r="G5" t="s">
        <v>143</v>
      </c>
    </row>
    <row r="6" spans="1:7" x14ac:dyDescent="0.25">
      <c r="A6" t="s">
        <v>144</v>
      </c>
      <c r="B6" t="s">
        <v>125</v>
      </c>
      <c r="C6" t="s">
        <v>126</v>
      </c>
      <c r="D6">
        <v>40</v>
      </c>
      <c r="E6" t="s">
        <v>145</v>
      </c>
      <c r="F6" t="s">
        <v>127</v>
      </c>
      <c r="G6" t="s">
        <v>145</v>
      </c>
    </row>
    <row r="7" spans="1:7" x14ac:dyDescent="0.25">
      <c r="A7" t="s">
        <v>146</v>
      </c>
      <c r="B7" t="s">
        <v>132</v>
      </c>
      <c r="C7" t="s">
        <v>133</v>
      </c>
      <c r="D7">
        <v>53</v>
      </c>
      <c r="E7" t="s">
        <v>147</v>
      </c>
      <c r="F7" t="s">
        <v>134</v>
      </c>
      <c r="G7" t="s">
        <v>147</v>
      </c>
    </row>
    <row r="8" spans="1:7" x14ac:dyDescent="0.25">
      <c r="A8" t="s">
        <v>148</v>
      </c>
      <c r="B8" t="s">
        <v>125</v>
      </c>
      <c r="C8" t="s">
        <v>126</v>
      </c>
      <c r="D8">
        <v>502</v>
      </c>
      <c r="E8" t="s">
        <v>151</v>
      </c>
      <c r="F8" t="s">
        <v>127</v>
      </c>
      <c r="G8" t="s">
        <v>149</v>
      </c>
    </row>
    <row r="9" spans="1:7" x14ac:dyDescent="0.25">
      <c r="A9" t="s">
        <v>156</v>
      </c>
      <c r="B9" t="s">
        <v>125</v>
      </c>
      <c r="C9" t="s">
        <v>126</v>
      </c>
      <c r="D9">
        <v>11</v>
      </c>
      <c r="E9" t="s">
        <v>157</v>
      </c>
      <c r="F9" t="s">
        <v>127</v>
      </c>
      <c r="G9" t="s">
        <v>157</v>
      </c>
    </row>
    <row r="10" spans="1:7" x14ac:dyDescent="0.25">
      <c r="A10" t="s">
        <v>158</v>
      </c>
      <c r="B10" t="s">
        <v>125</v>
      </c>
      <c r="C10" t="s">
        <v>126</v>
      </c>
      <c r="D10">
        <v>12</v>
      </c>
      <c r="E10" t="s">
        <v>159</v>
      </c>
      <c r="F10" t="s">
        <v>127</v>
      </c>
      <c r="G10" t="s">
        <v>159</v>
      </c>
    </row>
    <row r="11" spans="1:7" x14ac:dyDescent="0.25">
      <c r="A11" t="s">
        <v>160</v>
      </c>
      <c r="B11" t="s">
        <v>132</v>
      </c>
      <c r="C11" t="s">
        <v>133</v>
      </c>
      <c r="D11">
        <v>63</v>
      </c>
      <c r="E11" t="s">
        <v>162</v>
      </c>
      <c r="F11" t="s">
        <v>134</v>
      </c>
      <c r="G11" t="s">
        <v>161</v>
      </c>
    </row>
    <row r="12" spans="1:7" x14ac:dyDescent="0.25">
      <c r="A12" t="s">
        <v>165</v>
      </c>
      <c r="B12" t="s">
        <v>132</v>
      </c>
      <c r="C12" t="s">
        <v>133</v>
      </c>
      <c r="D12">
        <v>34</v>
      </c>
      <c r="E12" t="s">
        <v>166</v>
      </c>
      <c r="F12" t="s">
        <v>134</v>
      </c>
      <c r="G12" t="s">
        <v>166</v>
      </c>
    </row>
    <row r="13" spans="1:7" x14ac:dyDescent="0.25">
      <c r="A13" t="s">
        <v>168</v>
      </c>
      <c r="B13" t="s">
        <v>132</v>
      </c>
      <c r="C13" t="s">
        <v>133</v>
      </c>
      <c r="D13">
        <v>126</v>
      </c>
      <c r="E13" t="s">
        <v>169</v>
      </c>
      <c r="F13" t="s">
        <v>134</v>
      </c>
      <c r="G13" t="s">
        <v>169</v>
      </c>
    </row>
    <row r="14" spans="1:7" x14ac:dyDescent="0.25">
      <c r="A14" t="s">
        <v>171</v>
      </c>
      <c r="B14" t="s">
        <v>132</v>
      </c>
      <c r="C14" t="s">
        <v>133</v>
      </c>
      <c r="D14">
        <v>109</v>
      </c>
      <c r="E14" t="s">
        <v>172</v>
      </c>
      <c r="F14" t="s">
        <v>134</v>
      </c>
      <c r="G14" t="s">
        <v>172</v>
      </c>
    </row>
    <row r="15" spans="1:7" x14ac:dyDescent="0.25">
      <c r="A15" t="s">
        <v>174</v>
      </c>
      <c r="B15" t="s">
        <v>132</v>
      </c>
      <c r="C15" t="s">
        <v>133</v>
      </c>
      <c r="D15">
        <v>86</v>
      </c>
      <c r="E15" t="s">
        <v>175</v>
      </c>
      <c r="F15" t="s">
        <v>134</v>
      </c>
      <c r="G15" t="s">
        <v>175</v>
      </c>
    </row>
    <row r="16" spans="1:7" x14ac:dyDescent="0.25">
      <c r="A16" t="s">
        <v>176</v>
      </c>
      <c r="B16" t="s">
        <v>132</v>
      </c>
      <c r="C16" t="s">
        <v>133</v>
      </c>
      <c r="D16">
        <v>125</v>
      </c>
      <c r="E16" t="s">
        <v>177</v>
      </c>
      <c r="F16" t="s">
        <v>134</v>
      </c>
      <c r="G16" t="s">
        <v>177</v>
      </c>
    </row>
    <row r="17" spans="1:7" x14ac:dyDescent="0.25">
      <c r="A17" t="s">
        <v>178</v>
      </c>
      <c r="B17" t="s">
        <v>132</v>
      </c>
      <c r="C17" t="s">
        <v>133</v>
      </c>
      <c r="D17">
        <v>115</v>
      </c>
      <c r="E17" t="s">
        <v>179</v>
      </c>
      <c r="F17" t="s">
        <v>134</v>
      </c>
      <c r="G17" t="s">
        <v>179</v>
      </c>
    </row>
    <row r="18" spans="1:7" x14ac:dyDescent="0.25">
      <c r="A18" t="s">
        <v>189</v>
      </c>
      <c r="B18" t="s">
        <v>132</v>
      </c>
      <c r="C18" t="s">
        <v>133</v>
      </c>
      <c r="D18">
        <v>101</v>
      </c>
      <c r="E18" t="s">
        <v>192</v>
      </c>
      <c r="F18" t="s">
        <v>134</v>
      </c>
      <c r="G18" t="s">
        <v>190</v>
      </c>
    </row>
    <row r="19" spans="1:7" x14ac:dyDescent="0.25">
      <c r="A19" t="s">
        <v>194</v>
      </c>
      <c r="B19" t="s">
        <v>197</v>
      </c>
      <c r="C19" t="s">
        <v>198</v>
      </c>
      <c r="D19">
        <v>94</v>
      </c>
      <c r="E19" t="s">
        <v>199</v>
      </c>
      <c r="F19" t="s">
        <v>199</v>
      </c>
      <c r="G19" t="s">
        <v>195</v>
      </c>
    </row>
    <row r="20" spans="1:7" x14ac:dyDescent="0.25">
      <c r="A20" t="s">
        <v>204</v>
      </c>
      <c r="B20" t="s">
        <v>125</v>
      </c>
      <c r="C20" t="s">
        <v>126</v>
      </c>
      <c r="D20">
        <v>224</v>
      </c>
      <c r="E20" t="s">
        <v>205</v>
      </c>
      <c r="F20" t="s">
        <v>127</v>
      </c>
      <c r="G20" t="s">
        <v>205</v>
      </c>
    </row>
    <row r="21" spans="1:7" x14ac:dyDescent="0.25">
      <c r="A21" t="s">
        <v>206</v>
      </c>
      <c r="B21" t="s">
        <v>125</v>
      </c>
      <c r="C21" t="s">
        <v>126</v>
      </c>
      <c r="D21">
        <v>226</v>
      </c>
      <c r="E21" t="s">
        <v>207</v>
      </c>
      <c r="F21" t="s">
        <v>127</v>
      </c>
      <c r="G21" t="s">
        <v>207</v>
      </c>
    </row>
    <row r="22" spans="1:7" x14ac:dyDescent="0.25">
      <c r="A22" t="s">
        <v>208</v>
      </c>
      <c r="B22" t="s">
        <v>125</v>
      </c>
      <c r="C22" t="s">
        <v>126</v>
      </c>
      <c r="D22">
        <v>552</v>
      </c>
      <c r="E22" t="s">
        <v>209</v>
      </c>
      <c r="F22" t="s">
        <v>127</v>
      </c>
      <c r="G22" t="s">
        <v>209</v>
      </c>
    </row>
    <row r="23" spans="1:7" x14ac:dyDescent="0.25">
      <c r="A23" t="s">
        <v>210</v>
      </c>
      <c r="B23" t="s">
        <v>125</v>
      </c>
      <c r="C23" t="s">
        <v>126</v>
      </c>
      <c r="D23">
        <v>225</v>
      </c>
      <c r="E23" t="s">
        <v>212</v>
      </c>
      <c r="F23" t="s">
        <v>127</v>
      </c>
      <c r="G23" t="s">
        <v>211</v>
      </c>
    </row>
    <row r="24" spans="1:7" x14ac:dyDescent="0.25">
      <c r="A24" t="s">
        <v>213</v>
      </c>
      <c r="B24" t="s">
        <v>125</v>
      </c>
      <c r="C24" t="s">
        <v>126</v>
      </c>
      <c r="D24">
        <v>256</v>
      </c>
      <c r="E24" t="s">
        <v>215</v>
      </c>
      <c r="F24" t="s">
        <v>127</v>
      </c>
      <c r="G24" t="s">
        <v>214</v>
      </c>
    </row>
    <row r="25" spans="1:7" x14ac:dyDescent="0.25">
      <c r="A25" t="s">
        <v>237</v>
      </c>
      <c r="B25" t="s">
        <v>125</v>
      </c>
      <c r="C25" t="s">
        <v>126</v>
      </c>
      <c r="D25">
        <v>196</v>
      </c>
      <c r="E25" t="s">
        <v>238</v>
      </c>
      <c r="F25" t="s">
        <v>127</v>
      </c>
      <c r="G25" t="s">
        <v>238</v>
      </c>
    </row>
    <row r="26" spans="1:7" x14ac:dyDescent="0.25">
      <c r="A26" t="s">
        <v>239</v>
      </c>
      <c r="B26" t="s">
        <v>125</v>
      </c>
      <c r="C26" t="s">
        <v>126</v>
      </c>
      <c r="D26">
        <v>197</v>
      </c>
      <c r="E26" t="s">
        <v>240</v>
      </c>
      <c r="F26" t="s">
        <v>127</v>
      </c>
      <c r="G26" t="s">
        <v>240</v>
      </c>
    </row>
    <row r="27" spans="1:7" x14ac:dyDescent="0.25">
      <c r="A27" t="s">
        <v>241</v>
      </c>
      <c r="B27" t="s">
        <v>132</v>
      </c>
      <c r="C27" t="s">
        <v>133</v>
      </c>
      <c r="D27">
        <v>103</v>
      </c>
      <c r="E27" t="s">
        <v>242</v>
      </c>
      <c r="F27" t="s">
        <v>134</v>
      </c>
      <c r="G27" t="s">
        <v>242</v>
      </c>
    </row>
    <row r="28" spans="1:7" x14ac:dyDescent="0.25">
      <c r="A28" t="s">
        <v>243</v>
      </c>
      <c r="B28" t="s">
        <v>132</v>
      </c>
      <c r="C28" t="s">
        <v>133</v>
      </c>
      <c r="D28">
        <v>64</v>
      </c>
      <c r="E28" t="s">
        <v>244</v>
      </c>
      <c r="F28" t="s">
        <v>134</v>
      </c>
      <c r="G28" t="s">
        <v>244</v>
      </c>
    </row>
    <row r="29" spans="1:7" x14ac:dyDescent="0.25">
      <c r="A29" t="s">
        <v>247</v>
      </c>
      <c r="B29" t="s">
        <v>125</v>
      </c>
      <c r="C29" t="s">
        <v>126</v>
      </c>
      <c r="D29">
        <v>205</v>
      </c>
      <c r="E29" t="s">
        <v>248</v>
      </c>
      <c r="F29" t="s">
        <v>127</v>
      </c>
      <c r="G29" t="s">
        <v>248</v>
      </c>
    </row>
    <row r="30" spans="1:7" x14ac:dyDescent="0.25">
      <c r="A30" t="s">
        <v>249</v>
      </c>
      <c r="B30" t="s">
        <v>125</v>
      </c>
      <c r="C30" t="s">
        <v>126</v>
      </c>
      <c r="D30">
        <v>206</v>
      </c>
      <c r="E30" t="s">
        <v>250</v>
      </c>
      <c r="F30" t="s">
        <v>127</v>
      </c>
      <c r="G30" t="s">
        <v>250</v>
      </c>
    </row>
    <row r="31" spans="1:7" x14ac:dyDescent="0.25">
      <c r="A31" t="s">
        <v>257</v>
      </c>
      <c r="B31" t="s">
        <v>125</v>
      </c>
      <c r="C31" t="s">
        <v>126</v>
      </c>
      <c r="D31">
        <v>199</v>
      </c>
      <c r="E31" t="s">
        <v>258</v>
      </c>
      <c r="F31" t="s">
        <v>127</v>
      </c>
      <c r="G31" t="s">
        <v>258</v>
      </c>
    </row>
    <row r="32" spans="1:7" x14ac:dyDescent="0.25">
      <c r="A32" t="s">
        <v>263</v>
      </c>
      <c r="B32" t="s">
        <v>125</v>
      </c>
      <c r="C32" t="s">
        <v>126</v>
      </c>
      <c r="D32">
        <v>200</v>
      </c>
      <c r="E32" t="s">
        <v>264</v>
      </c>
      <c r="F32" t="s">
        <v>127</v>
      </c>
      <c r="G32" t="s">
        <v>264</v>
      </c>
    </row>
    <row r="33" spans="1:7" x14ac:dyDescent="0.25">
      <c r="A33" t="s">
        <v>265</v>
      </c>
      <c r="B33" t="s">
        <v>125</v>
      </c>
      <c r="C33" t="s">
        <v>126</v>
      </c>
      <c r="D33">
        <v>202</v>
      </c>
      <c r="E33" t="s">
        <v>266</v>
      </c>
      <c r="F33" t="s">
        <v>127</v>
      </c>
      <c r="G33" t="s">
        <v>266</v>
      </c>
    </row>
    <row r="34" spans="1:7" x14ac:dyDescent="0.25">
      <c r="A34" t="s">
        <v>276</v>
      </c>
      <c r="B34" t="s">
        <v>125</v>
      </c>
      <c r="C34" t="s">
        <v>126</v>
      </c>
      <c r="D34">
        <v>247</v>
      </c>
      <c r="E34" t="s">
        <v>277</v>
      </c>
      <c r="F34" t="s">
        <v>127</v>
      </c>
      <c r="G34" t="s">
        <v>277</v>
      </c>
    </row>
    <row r="35" spans="1:7" x14ac:dyDescent="0.25">
      <c r="A35" t="s">
        <v>279</v>
      </c>
      <c r="B35" t="s">
        <v>125</v>
      </c>
      <c r="C35" t="s">
        <v>126</v>
      </c>
      <c r="D35">
        <v>531</v>
      </c>
      <c r="E35" t="s">
        <v>280</v>
      </c>
      <c r="F35" t="s">
        <v>127</v>
      </c>
      <c r="G35" t="s">
        <v>280</v>
      </c>
    </row>
    <row r="36" spans="1:7" x14ac:dyDescent="0.25">
      <c r="A36" t="s">
        <v>281</v>
      </c>
      <c r="B36" t="s">
        <v>125</v>
      </c>
      <c r="C36" t="s">
        <v>126</v>
      </c>
      <c r="D36">
        <v>571</v>
      </c>
      <c r="E36" t="s">
        <v>282</v>
      </c>
      <c r="F36" t="s">
        <v>127</v>
      </c>
      <c r="G36" t="s">
        <v>282</v>
      </c>
    </row>
    <row r="37" spans="1:7" x14ac:dyDescent="0.25">
      <c r="A37" t="s">
        <v>284</v>
      </c>
      <c r="B37" t="s">
        <v>125</v>
      </c>
      <c r="C37" t="s">
        <v>126</v>
      </c>
      <c r="D37">
        <v>570</v>
      </c>
      <c r="E37" t="s">
        <v>285</v>
      </c>
      <c r="F37" t="s">
        <v>127</v>
      </c>
      <c r="G37" t="s">
        <v>285</v>
      </c>
    </row>
    <row r="38" spans="1:7" x14ac:dyDescent="0.25">
      <c r="A38" t="s">
        <v>286</v>
      </c>
      <c r="B38" t="s">
        <v>125</v>
      </c>
      <c r="C38" t="s">
        <v>126</v>
      </c>
      <c r="D38">
        <v>245</v>
      </c>
      <c r="E38" t="s">
        <v>288</v>
      </c>
      <c r="F38" t="s">
        <v>127</v>
      </c>
      <c r="G38" t="s">
        <v>287</v>
      </c>
    </row>
    <row r="39" spans="1:7" x14ac:dyDescent="0.25">
      <c r="A39" t="s">
        <v>289</v>
      </c>
      <c r="B39" t="s">
        <v>125</v>
      </c>
      <c r="C39" t="s">
        <v>126</v>
      </c>
      <c r="D39">
        <v>246</v>
      </c>
      <c r="E39" t="s">
        <v>291</v>
      </c>
      <c r="F39" t="s">
        <v>127</v>
      </c>
      <c r="G39" t="s">
        <v>290</v>
      </c>
    </row>
    <row r="40" spans="1:7" x14ac:dyDescent="0.25">
      <c r="A40" t="s">
        <v>296</v>
      </c>
      <c r="B40" t="s">
        <v>125</v>
      </c>
      <c r="C40" t="s">
        <v>126</v>
      </c>
      <c r="D40">
        <v>44</v>
      </c>
      <c r="E40" t="s">
        <v>297</v>
      </c>
      <c r="F40" t="s">
        <v>127</v>
      </c>
      <c r="G40" t="s">
        <v>297</v>
      </c>
    </row>
    <row r="41" spans="1:7" x14ac:dyDescent="0.25">
      <c r="A41" t="s">
        <v>298</v>
      </c>
      <c r="B41" t="s">
        <v>125</v>
      </c>
      <c r="C41" t="s">
        <v>126</v>
      </c>
      <c r="D41">
        <v>45</v>
      </c>
      <c r="E41" t="s">
        <v>299</v>
      </c>
      <c r="F41" t="s">
        <v>127</v>
      </c>
      <c r="G41" t="s">
        <v>299</v>
      </c>
    </row>
    <row r="42" spans="1:7" x14ac:dyDescent="0.25">
      <c r="A42" t="s">
        <v>300</v>
      </c>
      <c r="B42" t="s">
        <v>125</v>
      </c>
      <c r="C42" t="s">
        <v>126</v>
      </c>
      <c r="D42">
        <v>46</v>
      </c>
      <c r="E42" t="s">
        <v>301</v>
      </c>
      <c r="F42" t="s">
        <v>127</v>
      </c>
      <c r="G42" t="s">
        <v>301</v>
      </c>
    </row>
    <row r="43" spans="1:7" x14ac:dyDescent="0.25">
      <c r="A43" t="s">
        <v>302</v>
      </c>
      <c r="B43" t="s">
        <v>132</v>
      </c>
      <c r="C43" t="s">
        <v>133</v>
      </c>
      <c r="D43">
        <v>56</v>
      </c>
      <c r="E43" t="s">
        <v>303</v>
      </c>
      <c r="F43" t="s">
        <v>134</v>
      </c>
      <c r="G43" t="s">
        <v>303</v>
      </c>
    </row>
    <row r="44" spans="1:7" x14ac:dyDescent="0.25">
      <c r="A44" t="s">
        <v>304</v>
      </c>
      <c r="B44" t="s">
        <v>132</v>
      </c>
      <c r="C44" t="s">
        <v>133</v>
      </c>
      <c r="D44">
        <v>47</v>
      </c>
      <c r="E44" t="s">
        <v>305</v>
      </c>
      <c r="F44" t="s">
        <v>134</v>
      </c>
      <c r="G44" t="s">
        <v>305</v>
      </c>
    </row>
    <row r="45" spans="1:7" x14ac:dyDescent="0.25">
      <c r="A45" t="s">
        <v>306</v>
      </c>
      <c r="B45" t="s">
        <v>132</v>
      </c>
      <c r="C45" t="s">
        <v>133</v>
      </c>
      <c r="D45">
        <v>71</v>
      </c>
      <c r="E45" t="s">
        <v>307</v>
      </c>
      <c r="F45" t="s">
        <v>134</v>
      </c>
      <c r="G45" t="s">
        <v>307</v>
      </c>
    </row>
    <row r="46" spans="1:7" x14ac:dyDescent="0.25">
      <c r="A46" t="s">
        <v>308</v>
      </c>
      <c r="B46" t="s">
        <v>132</v>
      </c>
      <c r="C46" t="s">
        <v>133</v>
      </c>
      <c r="D46">
        <v>117</v>
      </c>
      <c r="E46" t="s">
        <v>309</v>
      </c>
      <c r="F46" t="s">
        <v>134</v>
      </c>
      <c r="G46" t="s">
        <v>309</v>
      </c>
    </row>
    <row r="47" spans="1:7" x14ac:dyDescent="0.25">
      <c r="A47" t="s">
        <v>313</v>
      </c>
      <c r="B47" t="s">
        <v>125</v>
      </c>
      <c r="C47" t="s">
        <v>126</v>
      </c>
      <c r="D47">
        <v>0</v>
      </c>
      <c r="E47">
        <v>0</v>
      </c>
      <c r="F47" t="s">
        <v>127</v>
      </c>
      <c r="G47" t="s">
        <v>314</v>
      </c>
    </row>
    <row r="48" spans="1:7" x14ac:dyDescent="0.25">
      <c r="A48" t="s">
        <v>318</v>
      </c>
      <c r="B48" t="s">
        <v>125</v>
      </c>
      <c r="C48" t="s">
        <v>126</v>
      </c>
      <c r="D48">
        <v>359</v>
      </c>
      <c r="E48" t="s">
        <v>317</v>
      </c>
      <c r="F48" t="s">
        <v>127</v>
      </c>
      <c r="G48" t="s">
        <v>317</v>
      </c>
    </row>
    <row r="49" spans="1:7" x14ac:dyDescent="0.25">
      <c r="A49" t="s">
        <v>319</v>
      </c>
      <c r="B49" t="s">
        <v>125</v>
      </c>
      <c r="C49" t="s">
        <v>126</v>
      </c>
      <c r="D49">
        <v>496</v>
      </c>
      <c r="E49" t="s">
        <v>320</v>
      </c>
      <c r="F49" t="s">
        <v>127</v>
      </c>
      <c r="G49" t="s">
        <v>320</v>
      </c>
    </row>
    <row r="50" spans="1:7" x14ac:dyDescent="0.25">
      <c r="A50" t="s">
        <v>321</v>
      </c>
      <c r="B50" t="s">
        <v>125</v>
      </c>
      <c r="C50" t="s">
        <v>126</v>
      </c>
      <c r="D50">
        <v>0</v>
      </c>
      <c r="E50">
        <v>0</v>
      </c>
      <c r="F50" t="s">
        <v>127</v>
      </c>
      <c r="G50" t="s">
        <v>322</v>
      </c>
    </row>
    <row r="51" spans="1:7" x14ac:dyDescent="0.25">
      <c r="A51" t="s">
        <v>323</v>
      </c>
      <c r="B51" t="s">
        <v>125</v>
      </c>
      <c r="C51" t="s">
        <v>126</v>
      </c>
      <c r="D51">
        <v>0</v>
      </c>
      <c r="E51">
        <v>0</v>
      </c>
      <c r="F51" t="s">
        <v>127</v>
      </c>
      <c r="G51" t="s">
        <v>324</v>
      </c>
    </row>
    <row r="52" spans="1:7" x14ac:dyDescent="0.25">
      <c r="A52" t="s">
        <v>325</v>
      </c>
      <c r="B52" t="s">
        <v>125</v>
      </c>
      <c r="C52" t="s">
        <v>126</v>
      </c>
      <c r="D52">
        <v>243</v>
      </c>
      <c r="E52" t="s">
        <v>327</v>
      </c>
      <c r="F52" t="s">
        <v>127</v>
      </c>
      <c r="G52" t="s">
        <v>326</v>
      </c>
    </row>
    <row r="53" spans="1:7" x14ac:dyDescent="0.25">
      <c r="A53" t="s">
        <v>336</v>
      </c>
      <c r="B53" t="s">
        <v>125</v>
      </c>
      <c r="C53" t="s">
        <v>126</v>
      </c>
      <c r="D53">
        <v>193</v>
      </c>
      <c r="E53" t="s">
        <v>337</v>
      </c>
      <c r="F53" t="s">
        <v>127</v>
      </c>
      <c r="G53" t="s">
        <v>337</v>
      </c>
    </row>
    <row r="54" spans="1:7" x14ac:dyDescent="0.25">
      <c r="A54" t="s">
        <v>338</v>
      </c>
      <c r="B54" t="s">
        <v>125</v>
      </c>
      <c r="C54" t="s">
        <v>126</v>
      </c>
      <c r="D54">
        <v>194</v>
      </c>
      <c r="E54" t="s">
        <v>339</v>
      </c>
      <c r="F54" t="s">
        <v>127</v>
      </c>
      <c r="G54" t="s">
        <v>339</v>
      </c>
    </row>
    <row r="55" spans="1:7" x14ac:dyDescent="0.25">
      <c r="A55" t="s">
        <v>340</v>
      </c>
      <c r="B55" t="s">
        <v>125</v>
      </c>
      <c r="C55" t="s">
        <v>126</v>
      </c>
      <c r="D55">
        <v>78</v>
      </c>
      <c r="E55" t="s">
        <v>343</v>
      </c>
      <c r="F55" t="s">
        <v>127</v>
      </c>
      <c r="G55" t="s">
        <v>341</v>
      </c>
    </row>
    <row r="56" spans="1:7" x14ac:dyDescent="0.25">
      <c r="A56" t="s">
        <v>350</v>
      </c>
      <c r="B56" t="s">
        <v>125</v>
      </c>
      <c r="C56" t="s">
        <v>126</v>
      </c>
      <c r="D56">
        <v>66</v>
      </c>
      <c r="E56" t="s">
        <v>348</v>
      </c>
      <c r="F56" t="s">
        <v>127</v>
      </c>
      <c r="G56" t="s">
        <v>348</v>
      </c>
    </row>
    <row r="57" spans="1:7" x14ac:dyDescent="0.25">
      <c r="A57" t="s">
        <v>351</v>
      </c>
      <c r="B57" t="s">
        <v>132</v>
      </c>
      <c r="C57" t="s">
        <v>133</v>
      </c>
      <c r="D57">
        <v>119</v>
      </c>
      <c r="E57" t="s">
        <v>352</v>
      </c>
      <c r="F57" t="s">
        <v>134</v>
      </c>
      <c r="G57" t="s">
        <v>352</v>
      </c>
    </row>
    <row r="58" spans="1:7" x14ac:dyDescent="0.25">
      <c r="A58" t="s">
        <v>353</v>
      </c>
      <c r="B58" t="s">
        <v>125</v>
      </c>
      <c r="C58" t="s">
        <v>126</v>
      </c>
      <c r="D58">
        <v>67</v>
      </c>
      <c r="E58" t="s">
        <v>354</v>
      </c>
      <c r="F58" t="s">
        <v>127</v>
      </c>
      <c r="G58" t="s">
        <v>354</v>
      </c>
    </row>
    <row r="59" spans="1:7" x14ac:dyDescent="0.25">
      <c r="A59" t="s">
        <v>356</v>
      </c>
      <c r="B59" t="s">
        <v>125</v>
      </c>
      <c r="C59" t="s">
        <v>126</v>
      </c>
      <c r="D59">
        <v>72</v>
      </c>
      <c r="E59" t="s">
        <v>361</v>
      </c>
      <c r="F59" t="s">
        <v>127</v>
      </c>
      <c r="G59" t="s">
        <v>361</v>
      </c>
    </row>
    <row r="60" spans="1:7" x14ac:dyDescent="0.25">
      <c r="A60" t="s">
        <v>364</v>
      </c>
      <c r="B60" t="s">
        <v>125</v>
      </c>
      <c r="C60" t="s">
        <v>126</v>
      </c>
      <c r="D60">
        <v>69</v>
      </c>
      <c r="E60" t="s">
        <v>365</v>
      </c>
      <c r="F60" t="s">
        <v>127</v>
      </c>
      <c r="G60" t="s">
        <v>365</v>
      </c>
    </row>
    <row r="61" spans="1:7" x14ac:dyDescent="0.25">
      <c r="A61" t="s">
        <v>366</v>
      </c>
      <c r="B61" t="s">
        <v>125</v>
      </c>
      <c r="C61" t="s">
        <v>126</v>
      </c>
      <c r="D61">
        <v>70</v>
      </c>
      <c r="E61" t="s">
        <v>367</v>
      </c>
      <c r="F61" t="s">
        <v>127</v>
      </c>
      <c r="G61" t="s">
        <v>367</v>
      </c>
    </row>
    <row r="62" spans="1:7" x14ac:dyDescent="0.25">
      <c r="A62" t="s">
        <v>368</v>
      </c>
      <c r="B62" t="s">
        <v>125</v>
      </c>
      <c r="C62" t="s">
        <v>126</v>
      </c>
      <c r="D62">
        <v>533</v>
      </c>
      <c r="E62" t="s">
        <v>369</v>
      </c>
      <c r="F62" t="s">
        <v>127</v>
      </c>
      <c r="G62" t="s">
        <v>369</v>
      </c>
    </row>
    <row r="63" spans="1:7" x14ac:dyDescent="0.25">
      <c r="A63" t="s">
        <v>379</v>
      </c>
      <c r="B63" t="s">
        <v>125</v>
      </c>
      <c r="C63" t="s">
        <v>126</v>
      </c>
      <c r="D63">
        <v>175</v>
      </c>
      <c r="E63" t="s">
        <v>380</v>
      </c>
      <c r="F63" t="s">
        <v>127</v>
      </c>
      <c r="G63" t="s">
        <v>380</v>
      </c>
    </row>
    <row r="64" spans="1:7" x14ac:dyDescent="0.25">
      <c r="A64" t="s">
        <v>381</v>
      </c>
      <c r="B64" t="s">
        <v>125</v>
      </c>
      <c r="C64" t="s">
        <v>126</v>
      </c>
      <c r="D64">
        <v>180</v>
      </c>
      <c r="E64" t="s">
        <v>382</v>
      </c>
      <c r="F64" t="s">
        <v>127</v>
      </c>
      <c r="G64" t="s">
        <v>382</v>
      </c>
    </row>
    <row r="65" spans="1:7" x14ac:dyDescent="0.25">
      <c r="A65" t="s">
        <v>383</v>
      </c>
      <c r="B65" t="s">
        <v>125</v>
      </c>
      <c r="C65" t="s">
        <v>126</v>
      </c>
      <c r="D65">
        <v>181</v>
      </c>
      <c r="E65" t="s">
        <v>384</v>
      </c>
      <c r="F65" t="s">
        <v>127</v>
      </c>
      <c r="G65" t="s">
        <v>384</v>
      </c>
    </row>
    <row r="66" spans="1:7" x14ac:dyDescent="0.25">
      <c r="A66" t="s">
        <v>385</v>
      </c>
      <c r="B66" t="s">
        <v>125</v>
      </c>
      <c r="C66" t="s">
        <v>126</v>
      </c>
      <c r="D66">
        <v>190</v>
      </c>
      <c r="E66" t="s">
        <v>386</v>
      </c>
      <c r="F66" t="s">
        <v>127</v>
      </c>
      <c r="G66" t="s">
        <v>386</v>
      </c>
    </row>
    <row r="67" spans="1:7" x14ac:dyDescent="0.25">
      <c r="A67" t="s">
        <v>387</v>
      </c>
      <c r="B67" t="s">
        <v>125</v>
      </c>
      <c r="C67" t="s">
        <v>126</v>
      </c>
      <c r="D67">
        <v>185</v>
      </c>
      <c r="E67" t="s">
        <v>388</v>
      </c>
      <c r="F67" t="s">
        <v>127</v>
      </c>
      <c r="G67" t="s">
        <v>388</v>
      </c>
    </row>
    <row r="68" spans="1:7" x14ac:dyDescent="0.25">
      <c r="A68" t="s">
        <v>396</v>
      </c>
      <c r="B68" t="s">
        <v>125</v>
      </c>
      <c r="C68" t="s">
        <v>126</v>
      </c>
      <c r="D68">
        <v>176</v>
      </c>
      <c r="E68" t="s">
        <v>397</v>
      </c>
      <c r="F68" t="s">
        <v>127</v>
      </c>
      <c r="G68" t="s">
        <v>397</v>
      </c>
    </row>
    <row r="69" spans="1:7" x14ac:dyDescent="0.25">
      <c r="A69" t="s">
        <v>398</v>
      </c>
      <c r="B69" t="s">
        <v>125</v>
      </c>
      <c r="C69" t="s">
        <v>126</v>
      </c>
      <c r="D69">
        <v>177</v>
      </c>
      <c r="E69" t="s">
        <v>399</v>
      </c>
      <c r="F69" t="s">
        <v>127</v>
      </c>
      <c r="G69" t="s">
        <v>399</v>
      </c>
    </row>
    <row r="70" spans="1:7" x14ac:dyDescent="0.25">
      <c r="A70" t="s">
        <v>400</v>
      </c>
      <c r="B70" t="s">
        <v>125</v>
      </c>
      <c r="C70" t="s">
        <v>126</v>
      </c>
      <c r="D70">
        <v>179</v>
      </c>
      <c r="E70" t="s">
        <v>401</v>
      </c>
      <c r="F70" t="s">
        <v>127</v>
      </c>
      <c r="G70" t="s">
        <v>401</v>
      </c>
    </row>
    <row r="71" spans="1:7" x14ac:dyDescent="0.25">
      <c r="A71" t="s">
        <v>402</v>
      </c>
      <c r="B71" t="s">
        <v>125</v>
      </c>
      <c r="C71" t="s">
        <v>126</v>
      </c>
      <c r="D71">
        <v>183</v>
      </c>
      <c r="E71" t="s">
        <v>403</v>
      </c>
      <c r="F71" t="s">
        <v>127</v>
      </c>
      <c r="G71" t="s">
        <v>403</v>
      </c>
    </row>
    <row r="72" spans="1:7" x14ac:dyDescent="0.25">
      <c r="A72" t="s">
        <v>404</v>
      </c>
      <c r="B72" t="s">
        <v>125</v>
      </c>
      <c r="C72" t="s">
        <v>126</v>
      </c>
      <c r="D72">
        <v>184</v>
      </c>
      <c r="E72" t="s">
        <v>405</v>
      </c>
      <c r="F72" t="s">
        <v>127</v>
      </c>
      <c r="G72" t="s">
        <v>405</v>
      </c>
    </row>
    <row r="73" spans="1:7" x14ac:dyDescent="0.25">
      <c r="A73" t="s">
        <v>411</v>
      </c>
      <c r="B73" t="s">
        <v>125</v>
      </c>
      <c r="C73" t="s">
        <v>126</v>
      </c>
      <c r="D73">
        <v>218</v>
      </c>
      <c r="E73" t="s">
        <v>412</v>
      </c>
      <c r="F73" t="s">
        <v>127</v>
      </c>
      <c r="G73" t="s">
        <v>412</v>
      </c>
    </row>
    <row r="74" spans="1:7" x14ac:dyDescent="0.25">
      <c r="A74" t="s">
        <v>414</v>
      </c>
      <c r="B74" t="s">
        <v>125</v>
      </c>
      <c r="C74" t="s">
        <v>126</v>
      </c>
      <c r="D74">
        <v>255</v>
      </c>
      <c r="E74" t="s">
        <v>415</v>
      </c>
      <c r="F74" t="s">
        <v>127</v>
      </c>
      <c r="G74" t="s">
        <v>415</v>
      </c>
    </row>
    <row r="75" spans="1:7" x14ac:dyDescent="0.25">
      <c r="A75" t="s">
        <v>419</v>
      </c>
      <c r="B75" t="s">
        <v>125</v>
      </c>
      <c r="C75" t="s">
        <v>126</v>
      </c>
      <c r="D75">
        <v>254</v>
      </c>
      <c r="E75" t="s">
        <v>420</v>
      </c>
      <c r="F75" t="s">
        <v>127</v>
      </c>
      <c r="G75" t="s">
        <v>420</v>
      </c>
    </row>
    <row r="76" spans="1:7" x14ac:dyDescent="0.25">
      <c r="A76" t="s">
        <v>422</v>
      </c>
      <c r="B76" t="s">
        <v>125</v>
      </c>
      <c r="C76" t="s">
        <v>126</v>
      </c>
      <c r="D76">
        <v>220</v>
      </c>
      <c r="E76" t="s">
        <v>423</v>
      </c>
      <c r="F76" t="s">
        <v>127</v>
      </c>
      <c r="G76" t="s">
        <v>423</v>
      </c>
    </row>
    <row r="77" spans="1:7" x14ac:dyDescent="0.25">
      <c r="A77" t="s">
        <v>427</v>
      </c>
      <c r="B77" t="s">
        <v>125</v>
      </c>
      <c r="C77" t="s">
        <v>126</v>
      </c>
      <c r="D77">
        <v>223</v>
      </c>
      <c r="E77" t="s">
        <v>425</v>
      </c>
      <c r="F77" t="s">
        <v>127</v>
      </c>
      <c r="G77" t="s">
        <v>425</v>
      </c>
    </row>
    <row r="78" spans="1:7" x14ac:dyDescent="0.25">
      <c r="A78" t="s">
        <v>428</v>
      </c>
      <c r="B78" t="s">
        <v>125</v>
      </c>
      <c r="C78" t="s">
        <v>126</v>
      </c>
      <c r="D78">
        <v>221</v>
      </c>
      <c r="E78" t="s">
        <v>429</v>
      </c>
      <c r="F78" t="s">
        <v>127</v>
      </c>
      <c r="G78" t="s">
        <v>429</v>
      </c>
    </row>
    <row r="79" spans="1:7" x14ac:dyDescent="0.25">
      <c r="A79" t="s">
        <v>436</v>
      </c>
      <c r="B79" t="s">
        <v>125</v>
      </c>
      <c r="C79" t="s">
        <v>126</v>
      </c>
      <c r="D79">
        <v>208</v>
      </c>
      <c r="E79" t="s">
        <v>437</v>
      </c>
      <c r="F79" t="s">
        <v>127</v>
      </c>
      <c r="G79" t="s">
        <v>437</v>
      </c>
    </row>
    <row r="80" spans="1:7" x14ac:dyDescent="0.25">
      <c r="A80" t="s">
        <v>438</v>
      </c>
      <c r="B80" t="s">
        <v>125</v>
      </c>
      <c r="C80" t="s">
        <v>126</v>
      </c>
      <c r="D80">
        <v>210</v>
      </c>
      <c r="E80" t="s">
        <v>439</v>
      </c>
      <c r="F80" t="s">
        <v>127</v>
      </c>
      <c r="G80" t="s">
        <v>439</v>
      </c>
    </row>
    <row r="81" spans="1:7" x14ac:dyDescent="0.25">
      <c r="A81" t="s">
        <v>440</v>
      </c>
      <c r="B81" t="s">
        <v>125</v>
      </c>
      <c r="C81" t="s">
        <v>126</v>
      </c>
      <c r="D81">
        <v>214</v>
      </c>
      <c r="E81" t="s">
        <v>441</v>
      </c>
      <c r="F81" t="s">
        <v>127</v>
      </c>
      <c r="G81" t="s">
        <v>441</v>
      </c>
    </row>
    <row r="82" spans="1:7" x14ac:dyDescent="0.25">
      <c r="A82" t="s">
        <v>446</v>
      </c>
      <c r="B82" t="s">
        <v>125</v>
      </c>
      <c r="C82" t="s">
        <v>126</v>
      </c>
      <c r="D82">
        <v>15</v>
      </c>
      <c r="E82" t="s">
        <v>447</v>
      </c>
      <c r="F82" t="s">
        <v>127</v>
      </c>
      <c r="G82" t="s">
        <v>447</v>
      </c>
    </row>
    <row r="83" spans="1:7" x14ac:dyDescent="0.25">
      <c r="A83" t="s">
        <v>448</v>
      </c>
      <c r="B83" t="s">
        <v>125</v>
      </c>
      <c r="C83" t="s">
        <v>126</v>
      </c>
      <c r="D83">
        <v>212</v>
      </c>
      <c r="E83" t="s">
        <v>444</v>
      </c>
      <c r="F83" t="s">
        <v>127</v>
      </c>
      <c r="G83" t="s">
        <v>444</v>
      </c>
    </row>
    <row r="84" spans="1:7" x14ac:dyDescent="0.25">
      <c r="A84" t="s">
        <v>451</v>
      </c>
      <c r="B84" t="s">
        <v>132</v>
      </c>
      <c r="C84" t="s">
        <v>133</v>
      </c>
      <c r="D84">
        <v>130</v>
      </c>
      <c r="E84" t="s">
        <v>452</v>
      </c>
      <c r="F84" t="s">
        <v>134</v>
      </c>
      <c r="G84" t="s">
        <v>452</v>
      </c>
    </row>
    <row r="85" spans="1:7" x14ac:dyDescent="0.25">
      <c r="A85" t="s">
        <v>453</v>
      </c>
      <c r="B85" t="s">
        <v>125</v>
      </c>
      <c r="C85" t="s">
        <v>126</v>
      </c>
      <c r="D85">
        <v>349</v>
      </c>
      <c r="E85" t="s">
        <v>454</v>
      </c>
      <c r="F85" t="s">
        <v>127</v>
      </c>
      <c r="G85" t="s">
        <v>454</v>
      </c>
    </row>
    <row r="86" spans="1:7" x14ac:dyDescent="0.25">
      <c r="A86" t="s">
        <v>455</v>
      </c>
      <c r="B86" t="s">
        <v>125</v>
      </c>
      <c r="C86" t="s">
        <v>126</v>
      </c>
      <c r="D86">
        <v>211</v>
      </c>
      <c r="E86" t="s">
        <v>450</v>
      </c>
      <c r="F86" t="s">
        <v>127</v>
      </c>
      <c r="G86" t="s">
        <v>450</v>
      </c>
    </row>
    <row r="87" spans="1:7" x14ac:dyDescent="0.25">
      <c r="A87" t="s">
        <v>456</v>
      </c>
      <c r="B87" t="s">
        <v>132</v>
      </c>
      <c r="C87" t="s">
        <v>133</v>
      </c>
      <c r="D87">
        <v>131</v>
      </c>
      <c r="E87" t="s">
        <v>457</v>
      </c>
      <c r="F87" t="s">
        <v>134</v>
      </c>
      <c r="G87" t="s">
        <v>457</v>
      </c>
    </row>
    <row r="88" spans="1:7" x14ac:dyDescent="0.25">
      <c r="A88" t="s">
        <v>459</v>
      </c>
      <c r="B88" t="s">
        <v>125</v>
      </c>
      <c r="C88" t="s">
        <v>126</v>
      </c>
      <c r="D88">
        <v>209</v>
      </c>
      <c r="E88" t="s">
        <v>460</v>
      </c>
      <c r="F88" t="s">
        <v>127</v>
      </c>
      <c r="G88" t="s">
        <v>460</v>
      </c>
    </row>
    <row r="89" spans="1:7" x14ac:dyDescent="0.25">
      <c r="A89" t="s">
        <v>461</v>
      </c>
      <c r="B89" t="s">
        <v>125</v>
      </c>
      <c r="C89" t="s">
        <v>126</v>
      </c>
      <c r="D89">
        <v>213</v>
      </c>
      <c r="E89" t="s">
        <v>462</v>
      </c>
      <c r="F89" t="s">
        <v>127</v>
      </c>
      <c r="G89" t="s">
        <v>462</v>
      </c>
    </row>
    <row r="90" spans="1:7" x14ac:dyDescent="0.25">
      <c r="A90" t="s">
        <v>459</v>
      </c>
      <c r="B90" t="s">
        <v>466</v>
      </c>
      <c r="C90" t="s">
        <v>467</v>
      </c>
      <c r="D90">
        <v>36</v>
      </c>
      <c r="E90" t="s">
        <v>465</v>
      </c>
      <c r="F90" t="s">
        <v>134</v>
      </c>
      <c r="G90" t="s">
        <v>465</v>
      </c>
    </row>
    <row r="91" spans="1:7" x14ac:dyDescent="0.25">
      <c r="A91" t="s">
        <v>459</v>
      </c>
      <c r="B91" t="s">
        <v>468</v>
      </c>
      <c r="C91" t="s">
        <v>469</v>
      </c>
      <c r="D91">
        <v>253</v>
      </c>
      <c r="E91" t="s">
        <v>465</v>
      </c>
      <c r="F91" t="s">
        <v>127</v>
      </c>
      <c r="G91" t="s">
        <v>465</v>
      </c>
    </row>
    <row r="92" spans="1:7" x14ac:dyDescent="0.25">
      <c r="A92" t="s">
        <v>474</v>
      </c>
      <c r="B92" t="s">
        <v>125</v>
      </c>
      <c r="C92" t="s">
        <v>126</v>
      </c>
      <c r="D92">
        <v>48</v>
      </c>
      <c r="E92" t="s">
        <v>477</v>
      </c>
      <c r="F92" t="s">
        <v>127</v>
      </c>
      <c r="G92" t="s">
        <v>475</v>
      </c>
    </row>
    <row r="93" spans="1:7" x14ac:dyDescent="0.25">
      <c r="A93" t="s">
        <v>478</v>
      </c>
      <c r="B93" t="s">
        <v>125</v>
      </c>
      <c r="C93" t="s">
        <v>126</v>
      </c>
      <c r="D93">
        <v>49</v>
      </c>
      <c r="E93" t="s">
        <v>480</v>
      </c>
      <c r="F93" t="s">
        <v>127</v>
      </c>
      <c r="G93" t="s">
        <v>479</v>
      </c>
    </row>
    <row r="94" spans="1:7" x14ac:dyDescent="0.25">
      <c r="A94" t="s">
        <v>490</v>
      </c>
      <c r="B94" t="s">
        <v>125</v>
      </c>
      <c r="C94" t="s">
        <v>126</v>
      </c>
      <c r="D94">
        <v>236</v>
      </c>
      <c r="E94" t="s">
        <v>491</v>
      </c>
      <c r="F94" t="s">
        <v>127</v>
      </c>
      <c r="G94" t="s">
        <v>491</v>
      </c>
    </row>
    <row r="95" spans="1:7" x14ac:dyDescent="0.25">
      <c r="A95" t="s">
        <v>492</v>
      </c>
      <c r="B95" t="s">
        <v>125</v>
      </c>
      <c r="C95" t="s">
        <v>126</v>
      </c>
      <c r="D95">
        <v>584</v>
      </c>
      <c r="E95" t="s">
        <v>495</v>
      </c>
      <c r="F95" t="s">
        <v>127</v>
      </c>
      <c r="G95" t="s">
        <v>493</v>
      </c>
    </row>
    <row r="96" spans="1:7" x14ac:dyDescent="0.25">
      <c r="A96" t="s">
        <v>497</v>
      </c>
      <c r="B96" t="s">
        <v>125</v>
      </c>
      <c r="C96" t="s">
        <v>126</v>
      </c>
      <c r="D96">
        <v>232</v>
      </c>
      <c r="E96" t="s">
        <v>499</v>
      </c>
      <c r="F96" t="s">
        <v>127</v>
      </c>
      <c r="G96" t="s">
        <v>498</v>
      </c>
    </row>
    <row r="97" spans="1:7" x14ac:dyDescent="0.25">
      <c r="A97" t="s">
        <v>500</v>
      </c>
      <c r="B97" t="s">
        <v>125</v>
      </c>
      <c r="C97" t="s">
        <v>126</v>
      </c>
      <c r="D97">
        <v>237</v>
      </c>
      <c r="E97" t="s">
        <v>503</v>
      </c>
      <c r="F97" t="s">
        <v>127</v>
      </c>
      <c r="G97" t="s">
        <v>501</v>
      </c>
    </row>
    <row r="98" spans="1:7" x14ac:dyDescent="0.25">
      <c r="A98" t="s">
        <v>507</v>
      </c>
      <c r="B98" t="s">
        <v>125</v>
      </c>
      <c r="C98" t="s">
        <v>126</v>
      </c>
      <c r="D98">
        <v>234</v>
      </c>
      <c r="E98" t="s">
        <v>508</v>
      </c>
      <c r="F98" t="s">
        <v>127</v>
      </c>
      <c r="G98" t="s">
        <v>508</v>
      </c>
    </row>
    <row r="99" spans="1:7" x14ac:dyDescent="0.25">
      <c r="A99" t="s">
        <v>509</v>
      </c>
      <c r="B99" t="s">
        <v>125</v>
      </c>
      <c r="C99" t="s">
        <v>126</v>
      </c>
      <c r="D99">
        <v>231</v>
      </c>
      <c r="E99" t="s">
        <v>510</v>
      </c>
      <c r="F99" t="s">
        <v>127</v>
      </c>
      <c r="G99" t="s">
        <v>510</v>
      </c>
    </row>
    <row r="100" spans="1:7" x14ac:dyDescent="0.25">
      <c r="A100" t="s">
        <v>516</v>
      </c>
      <c r="B100" t="s">
        <v>125</v>
      </c>
      <c r="C100" t="s">
        <v>126</v>
      </c>
      <c r="D100">
        <v>54</v>
      </c>
      <c r="E100" t="s">
        <v>517</v>
      </c>
      <c r="F100" t="s">
        <v>127</v>
      </c>
      <c r="G100" t="s">
        <v>517</v>
      </c>
    </row>
    <row r="101" spans="1:7" x14ac:dyDescent="0.25">
      <c r="A101" t="s">
        <v>518</v>
      </c>
      <c r="B101" t="s">
        <v>125</v>
      </c>
      <c r="C101" t="s">
        <v>126</v>
      </c>
      <c r="D101">
        <v>56</v>
      </c>
      <c r="E101" t="s">
        <v>519</v>
      </c>
      <c r="F101" t="s">
        <v>127</v>
      </c>
      <c r="G101" t="s">
        <v>519</v>
      </c>
    </row>
    <row r="102" spans="1:7" x14ac:dyDescent="0.25">
      <c r="A102" t="s">
        <v>520</v>
      </c>
      <c r="B102" t="s">
        <v>125</v>
      </c>
      <c r="C102" t="s">
        <v>126</v>
      </c>
      <c r="D102">
        <v>59</v>
      </c>
      <c r="E102" t="s">
        <v>522</v>
      </c>
      <c r="F102" t="s">
        <v>127</v>
      </c>
      <c r="G102" t="s">
        <v>521</v>
      </c>
    </row>
    <row r="103" spans="1:7" x14ac:dyDescent="0.25">
      <c r="A103" t="s">
        <v>526</v>
      </c>
      <c r="B103" t="s">
        <v>125</v>
      </c>
      <c r="C103" t="s">
        <v>126</v>
      </c>
      <c r="D103">
        <v>63</v>
      </c>
      <c r="E103" t="s">
        <v>527</v>
      </c>
      <c r="F103" t="s">
        <v>127</v>
      </c>
      <c r="G103" t="s">
        <v>527</v>
      </c>
    </row>
    <row r="104" spans="1:7" x14ac:dyDescent="0.25">
      <c r="A104" t="s">
        <v>528</v>
      </c>
      <c r="B104" t="s">
        <v>125</v>
      </c>
      <c r="C104" t="s">
        <v>126</v>
      </c>
      <c r="D104">
        <v>178</v>
      </c>
      <c r="E104" t="s">
        <v>529</v>
      </c>
      <c r="F104" t="s">
        <v>127</v>
      </c>
      <c r="G104" t="s">
        <v>529</v>
      </c>
    </row>
    <row r="105" spans="1:7" x14ac:dyDescent="0.25">
      <c r="A105" t="s">
        <v>534</v>
      </c>
      <c r="B105" t="s">
        <v>125</v>
      </c>
      <c r="C105" t="s">
        <v>126</v>
      </c>
      <c r="D105">
        <v>530</v>
      </c>
      <c r="E105" t="s">
        <v>535</v>
      </c>
      <c r="F105" t="s">
        <v>127</v>
      </c>
      <c r="G105" t="s">
        <v>535</v>
      </c>
    </row>
    <row r="106" spans="1:7" x14ac:dyDescent="0.25">
      <c r="A106" t="s">
        <v>536</v>
      </c>
      <c r="B106" t="s">
        <v>125</v>
      </c>
      <c r="C106" t="s">
        <v>126</v>
      </c>
      <c r="D106">
        <v>521</v>
      </c>
      <c r="E106" t="s">
        <v>537</v>
      </c>
      <c r="F106" t="s">
        <v>127</v>
      </c>
      <c r="G106" t="s">
        <v>537</v>
      </c>
    </row>
    <row r="107" spans="1:7" x14ac:dyDescent="0.25">
      <c r="A107" t="s">
        <v>538</v>
      </c>
      <c r="B107" t="s">
        <v>125</v>
      </c>
      <c r="C107" t="s">
        <v>126</v>
      </c>
      <c r="D107">
        <v>520</v>
      </c>
      <c r="E107" t="s">
        <v>539</v>
      </c>
      <c r="F107" t="s">
        <v>127</v>
      </c>
      <c r="G107" t="s">
        <v>539</v>
      </c>
    </row>
    <row r="108" spans="1:7" x14ac:dyDescent="0.25">
      <c r="A108" t="s">
        <v>540</v>
      </c>
      <c r="B108" t="s">
        <v>125</v>
      </c>
      <c r="C108" t="s">
        <v>126</v>
      </c>
      <c r="D108">
        <v>524</v>
      </c>
      <c r="E108" t="s">
        <v>541</v>
      </c>
      <c r="F108" t="s">
        <v>127</v>
      </c>
      <c r="G108" t="s">
        <v>541</v>
      </c>
    </row>
    <row r="109" spans="1:7" x14ac:dyDescent="0.25">
      <c r="A109" t="s">
        <v>542</v>
      </c>
      <c r="B109" t="s">
        <v>125</v>
      </c>
      <c r="C109" t="s">
        <v>126</v>
      </c>
      <c r="D109">
        <v>525</v>
      </c>
      <c r="E109" t="s">
        <v>543</v>
      </c>
      <c r="F109" t="s">
        <v>127</v>
      </c>
      <c r="G109" t="s">
        <v>543</v>
      </c>
    </row>
    <row r="110" spans="1:7" x14ac:dyDescent="0.25">
      <c r="A110" t="s">
        <v>544</v>
      </c>
      <c r="B110" t="s">
        <v>125</v>
      </c>
      <c r="C110" t="s">
        <v>126</v>
      </c>
      <c r="D110">
        <v>526</v>
      </c>
      <c r="E110" t="s">
        <v>545</v>
      </c>
      <c r="F110" t="s">
        <v>127</v>
      </c>
      <c r="G110" t="s">
        <v>545</v>
      </c>
    </row>
    <row r="111" spans="1:7" x14ac:dyDescent="0.25">
      <c r="A111">
        <v>0</v>
      </c>
      <c r="B111" t="s">
        <v>125</v>
      </c>
      <c r="C111" t="s">
        <v>126</v>
      </c>
      <c r="D111">
        <v>58</v>
      </c>
      <c r="E111" t="s">
        <v>546</v>
      </c>
      <c r="F111" t="s">
        <v>127</v>
      </c>
      <c r="G111" t="s">
        <v>546</v>
      </c>
    </row>
    <row r="112" spans="1:7" x14ac:dyDescent="0.25">
      <c r="A112">
        <v>0</v>
      </c>
      <c r="B112" t="s">
        <v>125</v>
      </c>
      <c r="C112" t="s">
        <v>126</v>
      </c>
      <c r="D112">
        <v>62</v>
      </c>
      <c r="E112" t="s">
        <v>547</v>
      </c>
      <c r="F112" t="s">
        <v>127</v>
      </c>
      <c r="G112" t="s">
        <v>547</v>
      </c>
    </row>
    <row r="113" spans="1:7" x14ac:dyDescent="0.25">
      <c r="A113">
        <v>0</v>
      </c>
      <c r="B113" t="s">
        <v>125</v>
      </c>
      <c r="C113" t="s">
        <v>126</v>
      </c>
      <c r="D113">
        <v>506</v>
      </c>
      <c r="E113" t="s">
        <v>548</v>
      </c>
      <c r="F113" t="s">
        <v>127</v>
      </c>
      <c r="G113" t="s">
        <v>548</v>
      </c>
    </row>
    <row r="114" spans="1:7" x14ac:dyDescent="0.25">
      <c r="A114">
        <v>0</v>
      </c>
      <c r="B114" t="s">
        <v>125</v>
      </c>
      <c r="C114" t="s">
        <v>126</v>
      </c>
      <c r="D114">
        <v>522</v>
      </c>
      <c r="E114" t="s">
        <v>549</v>
      </c>
      <c r="F114" t="s">
        <v>127</v>
      </c>
      <c r="G114" t="s">
        <v>549</v>
      </c>
    </row>
    <row r="115" spans="1:7" x14ac:dyDescent="0.25">
      <c r="A115" t="s">
        <v>555</v>
      </c>
      <c r="B115" t="s">
        <v>125</v>
      </c>
      <c r="C115" t="s">
        <v>126</v>
      </c>
      <c r="D115">
        <v>501</v>
      </c>
      <c r="E115" t="s">
        <v>556</v>
      </c>
      <c r="F115" t="s">
        <v>127</v>
      </c>
      <c r="G115" t="s">
        <v>556</v>
      </c>
    </row>
    <row r="116" spans="1:7" x14ac:dyDescent="0.25">
      <c r="A116" t="s">
        <v>557</v>
      </c>
      <c r="B116" t="s">
        <v>125</v>
      </c>
      <c r="C116" t="s">
        <v>126</v>
      </c>
      <c r="D116">
        <v>500</v>
      </c>
      <c r="E116" t="s">
        <v>558</v>
      </c>
      <c r="F116" t="s">
        <v>127</v>
      </c>
      <c r="G116" t="s">
        <v>558</v>
      </c>
    </row>
    <row r="117" spans="1:7" x14ac:dyDescent="0.25">
      <c r="A117">
        <v>0</v>
      </c>
      <c r="B117" t="s">
        <v>125</v>
      </c>
      <c r="C117" t="s">
        <v>126</v>
      </c>
      <c r="D117">
        <v>503</v>
      </c>
      <c r="E117" t="s">
        <v>559</v>
      </c>
      <c r="F117" t="s">
        <v>127</v>
      </c>
      <c r="G117" t="s">
        <v>559</v>
      </c>
    </row>
    <row r="118" spans="1:7" x14ac:dyDescent="0.25">
      <c r="A118">
        <v>0</v>
      </c>
      <c r="B118" t="s">
        <v>125</v>
      </c>
      <c r="C118" t="s">
        <v>126</v>
      </c>
      <c r="D118">
        <v>504</v>
      </c>
      <c r="E118" t="s">
        <v>560</v>
      </c>
      <c r="F118" t="s">
        <v>127</v>
      </c>
      <c r="G118" t="s">
        <v>560</v>
      </c>
    </row>
    <row r="119" spans="1:7" x14ac:dyDescent="0.25">
      <c r="A119">
        <v>0</v>
      </c>
      <c r="B119" t="s">
        <v>132</v>
      </c>
      <c r="C119" t="s">
        <v>133</v>
      </c>
      <c r="D119">
        <v>137</v>
      </c>
      <c r="E119" t="s">
        <v>561</v>
      </c>
      <c r="F119" t="s">
        <v>134</v>
      </c>
      <c r="G119" t="s">
        <v>561</v>
      </c>
    </row>
    <row r="120" spans="1:7" x14ac:dyDescent="0.25">
      <c r="A120" t="s">
        <v>568</v>
      </c>
      <c r="B120" t="s">
        <v>125</v>
      </c>
      <c r="C120" t="s">
        <v>126</v>
      </c>
      <c r="D120">
        <v>79</v>
      </c>
      <c r="E120" t="s">
        <v>569</v>
      </c>
      <c r="F120" t="s">
        <v>127</v>
      </c>
      <c r="G120" t="s">
        <v>569</v>
      </c>
    </row>
    <row r="121" spans="1:7" x14ac:dyDescent="0.25">
      <c r="A121" t="s">
        <v>570</v>
      </c>
      <c r="B121" t="s">
        <v>125</v>
      </c>
      <c r="C121" t="s">
        <v>126</v>
      </c>
      <c r="D121">
        <v>81</v>
      </c>
      <c r="E121" t="s">
        <v>571</v>
      </c>
      <c r="F121" t="s">
        <v>127</v>
      </c>
      <c r="G121" t="s">
        <v>571</v>
      </c>
    </row>
    <row r="122" spans="1:7" x14ac:dyDescent="0.25">
      <c r="A122" t="s">
        <v>572</v>
      </c>
      <c r="B122" t="s">
        <v>125</v>
      </c>
      <c r="C122" t="s">
        <v>126</v>
      </c>
      <c r="D122">
        <v>89</v>
      </c>
      <c r="E122" t="s">
        <v>573</v>
      </c>
      <c r="F122" t="s">
        <v>127</v>
      </c>
      <c r="G122" t="s">
        <v>573</v>
      </c>
    </row>
    <row r="123" spans="1:7" x14ac:dyDescent="0.25">
      <c r="A123" t="s">
        <v>578</v>
      </c>
      <c r="B123" t="s">
        <v>125</v>
      </c>
      <c r="C123" t="s">
        <v>126</v>
      </c>
      <c r="D123">
        <v>77</v>
      </c>
      <c r="E123" t="s">
        <v>579</v>
      </c>
      <c r="F123" t="s">
        <v>127</v>
      </c>
      <c r="G123" t="s">
        <v>579</v>
      </c>
    </row>
    <row r="124" spans="1:7" x14ac:dyDescent="0.25">
      <c r="A124" t="s">
        <v>580</v>
      </c>
      <c r="B124" t="s">
        <v>125</v>
      </c>
      <c r="C124" t="s">
        <v>126</v>
      </c>
      <c r="D124">
        <v>222</v>
      </c>
      <c r="E124" t="s">
        <v>581</v>
      </c>
      <c r="F124" t="s">
        <v>127</v>
      </c>
      <c r="G124" t="s">
        <v>581</v>
      </c>
    </row>
    <row r="125" spans="1:7" x14ac:dyDescent="0.25">
      <c r="A125">
        <v>0</v>
      </c>
      <c r="B125" t="s">
        <v>125</v>
      </c>
      <c r="C125" t="s">
        <v>126</v>
      </c>
      <c r="D125">
        <v>215</v>
      </c>
      <c r="E125" t="s">
        <v>582</v>
      </c>
      <c r="F125" t="s">
        <v>127</v>
      </c>
      <c r="G125" t="s">
        <v>582</v>
      </c>
    </row>
    <row r="126" spans="1:7" x14ac:dyDescent="0.25">
      <c r="A126" t="s">
        <v>583</v>
      </c>
      <c r="B126" t="s">
        <v>125</v>
      </c>
      <c r="C126" t="s">
        <v>126</v>
      </c>
      <c r="D126">
        <v>84</v>
      </c>
      <c r="E126" t="s">
        <v>584</v>
      </c>
      <c r="F126" t="s">
        <v>127</v>
      </c>
      <c r="G126" t="s">
        <v>584</v>
      </c>
    </row>
    <row r="127" spans="1:7" x14ac:dyDescent="0.25">
      <c r="A127" t="s">
        <v>586</v>
      </c>
      <c r="B127" t="s">
        <v>125</v>
      </c>
      <c r="C127" t="s">
        <v>126</v>
      </c>
      <c r="D127">
        <v>90</v>
      </c>
      <c r="E127" t="s">
        <v>587</v>
      </c>
      <c r="F127" t="s">
        <v>127</v>
      </c>
      <c r="G127" t="s">
        <v>587</v>
      </c>
    </row>
    <row r="128" spans="1:7" x14ac:dyDescent="0.25">
      <c r="A128" t="s">
        <v>588</v>
      </c>
      <c r="B128" t="s">
        <v>125</v>
      </c>
      <c r="C128" t="s">
        <v>126</v>
      </c>
      <c r="D128">
        <v>76</v>
      </c>
      <c r="E128" t="s">
        <v>591</v>
      </c>
      <c r="F128" t="s">
        <v>127</v>
      </c>
      <c r="G128" t="s">
        <v>589</v>
      </c>
    </row>
    <row r="129" spans="1:7" x14ac:dyDescent="0.25">
      <c r="A129" t="s">
        <v>594</v>
      </c>
      <c r="B129" t="s">
        <v>125</v>
      </c>
      <c r="C129" t="s">
        <v>126</v>
      </c>
      <c r="D129">
        <v>30</v>
      </c>
      <c r="E129" t="s">
        <v>595</v>
      </c>
      <c r="F129" t="s">
        <v>127</v>
      </c>
      <c r="G129" t="s">
        <v>595</v>
      </c>
    </row>
    <row r="130" spans="1:7" x14ac:dyDescent="0.25">
      <c r="A130" t="s">
        <v>596</v>
      </c>
      <c r="B130" t="s">
        <v>125</v>
      </c>
      <c r="C130" t="s">
        <v>126</v>
      </c>
      <c r="D130">
        <v>33</v>
      </c>
      <c r="E130" t="s">
        <v>597</v>
      </c>
      <c r="F130" t="s">
        <v>127</v>
      </c>
      <c r="G130" t="s">
        <v>597</v>
      </c>
    </row>
    <row r="131" spans="1:7" x14ac:dyDescent="0.25">
      <c r="A131" t="s">
        <v>599</v>
      </c>
      <c r="B131" t="s">
        <v>125</v>
      </c>
      <c r="C131" t="s">
        <v>126</v>
      </c>
      <c r="D131">
        <v>554</v>
      </c>
      <c r="E131" t="s">
        <v>600</v>
      </c>
      <c r="F131" t="s">
        <v>127</v>
      </c>
      <c r="G131" t="s">
        <v>600</v>
      </c>
    </row>
    <row r="132" spans="1:7" x14ac:dyDescent="0.25">
      <c r="A132" t="s">
        <v>601</v>
      </c>
      <c r="B132" t="s">
        <v>125</v>
      </c>
      <c r="C132" t="s">
        <v>126</v>
      </c>
      <c r="D132">
        <v>596</v>
      </c>
      <c r="E132" t="s">
        <v>602</v>
      </c>
      <c r="F132" t="s">
        <v>127</v>
      </c>
      <c r="G132" t="s">
        <v>602</v>
      </c>
    </row>
    <row r="133" spans="1:7" x14ac:dyDescent="0.25">
      <c r="A133" t="s">
        <v>603</v>
      </c>
      <c r="B133" t="s">
        <v>125</v>
      </c>
      <c r="C133" t="s">
        <v>126</v>
      </c>
      <c r="D133">
        <v>82</v>
      </c>
      <c r="E133" t="s">
        <v>604</v>
      </c>
      <c r="F133" t="s">
        <v>127</v>
      </c>
      <c r="G133" t="s">
        <v>604</v>
      </c>
    </row>
    <row r="134" spans="1:7" x14ac:dyDescent="0.25">
      <c r="A134" t="s">
        <v>605</v>
      </c>
      <c r="B134" t="s">
        <v>125</v>
      </c>
      <c r="C134" t="s">
        <v>126</v>
      </c>
      <c r="D134">
        <v>85</v>
      </c>
      <c r="E134" t="s">
        <v>606</v>
      </c>
      <c r="F134" t="s">
        <v>127</v>
      </c>
      <c r="G134" t="s">
        <v>606</v>
      </c>
    </row>
    <row r="135" spans="1:7" x14ac:dyDescent="0.25">
      <c r="A135" t="s">
        <v>607</v>
      </c>
      <c r="B135" t="s">
        <v>125</v>
      </c>
      <c r="C135" t="s">
        <v>126</v>
      </c>
      <c r="D135">
        <v>91</v>
      </c>
      <c r="E135" t="s">
        <v>608</v>
      </c>
      <c r="F135" t="s">
        <v>127</v>
      </c>
      <c r="G135" t="s">
        <v>608</v>
      </c>
    </row>
    <row r="136" spans="1:7" x14ac:dyDescent="0.25">
      <c r="A136" t="s">
        <v>611</v>
      </c>
      <c r="B136" t="s">
        <v>125</v>
      </c>
      <c r="C136" t="s">
        <v>126</v>
      </c>
      <c r="D136">
        <v>479</v>
      </c>
      <c r="E136" t="s">
        <v>613</v>
      </c>
      <c r="F136" t="s">
        <v>127</v>
      </c>
      <c r="G136" t="s">
        <v>613</v>
      </c>
    </row>
    <row r="137" spans="1:7" x14ac:dyDescent="0.25">
      <c r="A137" t="s">
        <v>614</v>
      </c>
      <c r="B137" t="s">
        <v>125</v>
      </c>
      <c r="C137" t="s">
        <v>126</v>
      </c>
      <c r="D137">
        <v>477</v>
      </c>
      <c r="E137" t="s">
        <v>615</v>
      </c>
      <c r="F137" t="s">
        <v>127</v>
      </c>
      <c r="G137" t="s">
        <v>615</v>
      </c>
    </row>
    <row r="138" spans="1:7" x14ac:dyDescent="0.25">
      <c r="A138" t="s">
        <v>616</v>
      </c>
      <c r="B138" t="s">
        <v>125</v>
      </c>
      <c r="C138" t="s">
        <v>126</v>
      </c>
      <c r="D138">
        <v>476</v>
      </c>
      <c r="E138" t="s">
        <v>617</v>
      </c>
      <c r="F138" t="s">
        <v>127</v>
      </c>
      <c r="G138" t="s">
        <v>617</v>
      </c>
    </row>
    <row r="139" spans="1:7" x14ac:dyDescent="0.25">
      <c r="A139">
        <v>0</v>
      </c>
      <c r="B139" t="s">
        <v>125</v>
      </c>
      <c r="C139" t="s">
        <v>126</v>
      </c>
      <c r="D139">
        <v>478</v>
      </c>
      <c r="E139" t="s">
        <v>618</v>
      </c>
      <c r="F139" t="s">
        <v>127</v>
      </c>
      <c r="G139" t="s">
        <v>618</v>
      </c>
    </row>
    <row r="140" spans="1:7" x14ac:dyDescent="0.25">
      <c r="A140">
        <v>0</v>
      </c>
      <c r="B140" t="s">
        <v>125</v>
      </c>
      <c r="C140" t="s">
        <v>126</v>
      </c>
      <c r="D140">
        <v>480</v>
      </c>
      <c r="E140" t="s">
        <v>619</v>
      </c>
      <c r="F140" t="s">
        <v>127</v>
      </c>
      <c r="G140" t="s">
        <v>619</v>
      </c>
    </row>
    <row r="141" spans="1:7" x14ac:dyDescent="0.25">
      <c r="A141">
        <v>0</v>
      </c>
      <c r="B141" t="s">
        <v>125</v>
      </c>
      <c r="C141" t="s">
        <v>126</v>
      </c>
      <c r="D141">
        <v>481</v>
      </c>
      <c r="E141" t="s">
        <v>620</v>
      </c>
      <c r="F141" t="s">
        <v>127</v>
      </c>
      <c r="G141" t="s">
        <v>620</v>
      </c>
    </row>
    <row r="142" spans="1:7" x14ac:dyDescent="0.25">
      <c r="A142" t="s">
        <v>614</v>
      </c>
      <c r="B142" t="s">
        <v>125</v>
      </c>
      <c r="C142" t="s">
        <v>126</v>
      </c>
      <c r="D142">
        <v>483</v>
      </c>
      <c r="E142" t="s">
        <v>622</v>
      </c>
      <c r="F142" t="s">
        <v>127</v>
      </c>
      <c r="G142" t="s">
        <v>621</v>
      </c>
    </row>
    <row r="143" spans="1:7" x14ac:dyDescent="0.25">
      <c r="A143" t="s">
        <v>616</v>
      </c>
      <c r="B143" t="s">
        <v>125</v>
      </c>
      <c r="C143" t="s">
        <v>126</v>
      </c>
      <c r="D143">
        <v>485</v>
      </c>
      <c r="E143" t="s">
        <v>623</v>
      </c>
      <c r="F143" t="s">
        <v>127</v>
      </c>
      <c r="G143" t="s">
        <v>623</v>
      </c>
    </row>
    <row r="144" spans="1:7" x14ac:dyDescent="0.25">
      <c r="A144" t="s">
        <v>626</v>
      </c>
      <c r="B144" t="s">
        <v>125</v>
      </c>
      <c r="C144" t="s">
        <v>126</v>
      </c>
      <c r="D144">
        <v>487</v>
      </c>
      <c r="E144" t="s">
        <v>627</v>
      </c>
      <c r="F144" t="s">
        <v>127</v>
      </c>
      <c r="G144" t="s">
        <v>627</v>
      </c>
    </row>
    <row r="145" spans="1:7" x14ac:dyDescent="0.25">
      <c r="A145" t="s">
        <v>628</v>
      </c>
      <c r="B145" t="s">
        <v>125</v>
      </c>
      <c r="C145" t="s">
        <v>126</v>
      </c>
      <c r="D145">
        <v>509</v>
      </c>
      <c r="E145" t="s">
        <v>629</v>
      </c>
      <c r="F145" t="s">
        <v>127</v>
      </c>
      <c r="G145" t="s">
        <v>629</v>
      </c>
    </row>
    <row r="146" spans="1:7" x14ac:dyDescent="0.25">
      <c r="A146">
        <v>0</v>
      </c>
      <c r="B146" t="s">
        <v>125</v>
      </c>
      <c r="C146" t="s">
        <v>126</v>
      </c>
      <c r="D146">
        <v>528</v>
      </c>
      <c r="E146" t="s">
        <v>630</v>
      </c>
      <c r="F146" t="s">
        <v>127</v>
      </c>
      <c r="G146" t="s">
        <v>630</v>
      </c>
    </row>
    <row r="147" spans="1:7" x14ac:dyDescent="0.25">
      <c r="A147" t="s">
        <v>631</v>
      </c>
      <c r="B147" t="s">
        <v>125</v>
      </c>
      <c r="C147" t="s">
        <v>126</v>
      </c>
      <c r="D147">
        <v>537</v>
      </c>
      <c r="E147" t="s">
        <v>634</v>
      </c>
      <c r="F147" t="s">
        <v>127</v>
      </c>
      <c r="G147" t="s">
        <v>632</v>
      </c>
    </row>
    <row r="148" spans="1:7" x14ac:dyDescent="0.25">
      <c r="A148" t="s">
        <v>635</v>
      </c>
      <c r="B148" t="s">
        <v>125</v>
      </c>
      <c r="C148" t="s">
        <v>126</v>
      </c>
      <c r="D148">
        <v>539</v>
      </c>
      <c r="E148" t="s">
        <v>638</v>
      </c>
      <c r="F148" t="s">
        <v>127</v>
      </c>
      <c r="G148" t="s">
        <v>636</v>
      </c>
    </row>
    <row r="149" spans="1:7" x14ac:dyDescent="0.25">
      <c r="A149" t="s">
        <v>651</v>
      </c>
      <c r="B149" t="s">
        <v>125</v>
      </c>
      <c r="C149" t="s">
        <v>126</v>
      </c>
      <c r="D149">
        <v>29</v>
      </c>
      <c r="E149" t="s">
        <v>652</v>
      </c>
      <c r="F149" t="s">
        <v>127</v>
      </c>
      <c r="G149" t="s">
        <v>652</v>
      </c>
    </row>
    <row r="150" spans="1:7" x14ac:dyDescent="0.25">
      <c r="A150" t="s">
        <v>653</v>
      </c>
      <c r="B150" t="s">
        <v>125</v>
      </c>
      <c r="C150" t="s">
        <v>126</v>
      </c>
      <c r="D150">
        <v>31</v>
      </c>
      <c r="E150" t="s">
        <v>654</v>
      </c>
      <c r="F150" t="s">
        <v>127</v>
      </c>
      <c r="G150" t="s">
        <v>654</v>
      </c>
    </row>
    <row r="151" spans="1:7" x14ac:dyDescent="0.25">
      <c r="A151" t="s">
        <v>655</v>
      </c>
      <c r="B151" t="s">
        <v>125</v>
      </c>
      <c r="C151" t="s">
        <v>126</v>
      </c>
      <c r="D151">
        <v>241</v>
      </c>
      <c r="E151" t="s">
        <v>656</v>
      </c>
      <c r="F151" t="s">
        <v>127</v>
      </c>
      <c r="G151" t="s">
        <v>656</v>
      </c>
    </row>
    <row r="152" spans="1:7" x14ac:dyDescent="0.25">
      <c r="A152" t="s">
        <v>657</v>
      </c>
      <c r="B152" t="s">
        <v>125</v>
      </c>
      <c r="C152" t="s">
        <v>126</v>
      </c>
      <c r="D152">
        <v>28</v>
      </c>
      <c r="E152" t="s">
        <v>658</v>
      </c>
      <c r="F152" t="s">
        <v>127</v>
      </c>
      <c r="G152" t="s">
        <v>658</v>
      </c>
    </row>
    <row r="153" spans="1:7" x14ac:dyDescent="0.25">
      <c r="A153" t="s">
        <v>742</v>
      </c>
      <c r="B153" t="s">
        <v>132</v>
      </c>
      <c r="C153" t="s">
        <v>133</v>
      </c>
      <c r="D153">
        <v>60</v>
      </c>
      <c r="E153" t="s">
        <v>743</v>
      </c>
      <c r="F153" t="s">
        <v>134</v>
      </c>
      <c r="G153" t="s">
        <v>743</v>
      </c>
    </row>
    <row r="154" spans="1:7" x14ac:dyDescent="0.25">
      <c r="A154" t="s">
        <v>744</v>
      </c>
      <c r="B154" t="s">
        <v>132</v>
      </c>
      <c r="C154" t="s">
        <v>133</v>
      </c>
      <c r="D154">
        <v>61</v>
      </c>
      <c r="E154" t="s">
        <v>745</v>
      </c>
      <c r="F154" t="s">
        <v>134</v>
      </c>
      <c r="G154" t="s">
        <v>745</v>
      </c>
    </row>
    <row r="155" spans="1:7" x14ac:dyDescent="0.25">
      <c r="A155" t="s">
        <v>746</v>
      </c>
      <c r="B155" t="s">
        <v>132</v>
      </c>
      <c r="C155" t="s">
        <v>133</v>
      </c>
      <c r="D155">
        <v>30</v>
      </c>
      <c r="E155" t="s">
        <v>748</v>
      </c>
      <c r="F155" t="s">
        <v>134</v>
      </c>
      <c r="G155" t="s">
        <v>747</v>
      </c>
    </row>
    <row r="156" spans="1:7" x14ac:dyDescent="0.25">
      <c r="A156" t="s">
        <v>755</v>
      </c>
      <c r="B156" t="s">
        <v>757</v>
      </c>
      <c r="C156" t="s">
        <v>758</v>
      </c>
      <c r="D156">
        <v>14</v>
      </c>
      <c r="E156" t="s">
        <v>756</v>
      </c>
      <c r="F156" t="s">
        <v>134</v>
      </c>
      <c r="G156" t="s">
        <v>756</v>
      </c>
    </row>
    <row r="157" spans="1:7" x14ac:dyDescent="0.25">
      <c r="A157" t="s">
        <v>761</v>
      </c>
      <c r="B157" t="s">
        <v>132</v>
      </c>
      <c r="C157" t="s">
        <v>133</v>
      </c>
      <c r="D157">
        <v>20</v>
      </c>
      <c r="E157" t="s">
        <v>762</v>
      </c>
      <c r="F157" t="s">
        <v>134</v>
      </c>
      <c r="G157" t="s">
        <v>762</v>
      </c>
    </row>
    <row r="158" spans="1:7" x14ac:dyDescent="0.25">
      <c r="A158" t="s">
        <v>763</v>
      </c>
      <c r="B158" t="s">
        <v>132</v>
      </c>
      <c r="C158" t="s">
        <v>133</v>
      </c>
      <c r="D158">
        <v>39</v>
      </c>
      <c r="E158" t="s">
        <v>764</v>
      </c>
      <c r="F158" t="s">
        <v>134</v>
      </c>
      <c r="G158" t="s">
        <v>764</v>
      </c>
    </row>
    <row r="159" spans="1:7" x14ac:dyDescent="0.25">
      <c r="A159" t="s">
        <v>765</v>
      </c>
      <c r="B159" t="s">
        <v>132</v>
      </c>
      <c r="C159" t="s">
        <v>133</v>
      </c>
      <c r="D159">
        <v>40</v>
      </c>
      <c r="E159" t="s">
        <v>766</v>
      </c>
      <c r="F159" t="s">
        <v>134</v>
      </c>
      <c r="G159" t="s">
        <v>766</v>
      </c>
    </row>
    <row r="160" spans="1:7" x14ac:dyDescent="0.25">
      <c r="A160" t="s">
        <v>771</v>
      </c>
      <c r="B160" t="s">
        <v>132</v>
      </c>
      <c r="C160" t="s">
        <v>133</v>
      </c>
      <c r="D160">
        <v>38</v>
      </c>
      <c r="E160" t="s">
        <v>772</v>
      </c>
      <c r="F160" t="s">
        <v>134</v>
      </c>
      <c r="G160" t="s">
        <v>772</v>
      </c>
    </row>
    <row r="161" spans="1:7" x14ac:dyDescent="0.25">
      <c r="A161" t="s">
        <v>775</v>
      </c>
      <c r="B161" t="s">
        <v>125</v>
      </c>
      <c r="C161">
        <v>0</v>
      </c>
      <c r="D161">
        <v>250</v>
      </c>
      <c r="E161" t="s">
        <v>776</v>
      </c>
      <c r="F161" t="s">
        <v>127</v>
      </c>
      <c r="G161" t="s">
        <v>776</v>
      </c>
    </row>
    <row r="162" spans="1:7" x14ac:dyDescent="0.25">
      <c r="A162" t="s">
        <v>777</v>
      </c>
      <c r="B162" t="s">
        <v>778</v>
      </c>
      <c r="C162" t="s">
        <v>779</v>
      </c>
      <c r="D162">
        <v>252</v>
      </c>
      <c r="E162" t="s">
        <v>262</v>
      </c>
      <c r="F162" t="s">
        <v>127</v>
      </c>
      <c r="G162" t="s">
        <v>262</v>
      </c>
    </row>
    <row r="163" spans="1:7" x14ac:dyDescent="0.25">
      <c r="A163" t="s">
        <v>781</v>
      </c>
      <c r="B163" t="s">
        <v>778</v>
      </c>
      <c r="C163" t="s">
        <v>779</v>
      </c>
      <c r="D163">
        <v>249</v>
      </c>
      <c r="E163" t="s">
        <v>782</v>
      </c>
      <c r="F163" t="s">
        <v>127</v>
      </c>
      <c r="G163" t="s">
        <v>782</v>
      </c>
    </row>
    <row r="164" spans="1:7" x14ac:dyDescent="0.25">
      <c r="A164" t="s">
        <v>783</v>
      </c>
      <c r="B164" t="s">
        <v>132</v>
      </c>
      <c r="C164" t="s">
        <v>133</v>
      </c>
      <c r="D164">
        <v>107</v>
      </c>
      <c r="E164" t="s">
        <v>784</v>
      </c>
      <c r="F164" t="s">
        <v>134</v>
      </c>
      <c r="G164" t="s">
        <v>784</v>
      </c>
    </row>
    <row r="165" spans="1:7" x14ac:dyDescent="0.25">
      <c r="A165" t="s">
        <v>788</v>
      </c>
      <c r="B165" t="s">
        <v>791</v>
      </c>
      <c r="C165" t="s">
        <v>792</v>
      </c>
      <c r="D165">
        <v>0</v>
      </c>
      <c r="E165">
        <v>0</v>
      </c>
      <c r="F165" t="s">
        <v>127</v>
      </c>
      <c r="G165" t="s">
        <v>789</v>
      </c>
    </row>
    <row r="166" spans="1:7" x14ac:dyDescent="0.25">
      <c r="A166" t="s">
        <v>796</v>
      </c>
      <c r="B166" t="s">
        <v>125</v>
      </c>
      <c r="C166" t="s">
        <v>126</v>
      </c>
      <c r="D166">
        <v>556</v>
      </c>
      <c r="E166" t="s">
        <v>652</v>
      </c>
      <c r="F166" t="s">
        <v>127</v>
      </c>
      <c r="G166" t="s">
        <v>797</v>
      </c>
    </row>
    <row r="167" spans="1:7" x14ac:dyDescent="0.25">
      <c r="A167" t="s">
        <v>798</v>
      </c>
      <c r="B167" t="s">
        <v>132</v>
      </c>
      <c r="C167" t="s">
        <v>133</v>
      </c>
      <c r="D167">
        <v>55</v>
      </c>
      <c r="E167" t="s">
        <v>784</v>
      </c>
      <c r="F167" t="s">
        <v>134</v>
      </c>
      <c r="G167" t="s">
        <v>799</v>
      </c>
    </row>
    <row r="168" spans="1:7" x14ac:dyDescent="0.25">
      <c r="A168" t="s">
        <v>800</v>
      </c>
      <c r="B168" t="s">
        <v>132</v>
      </c>
      <c r="C168" t="s">
        <v>133</v>
      </c>
      <c r="D168">
        <v>69</v>
      </c>
      <c r="E168" t="s">
        <v>784</v>
      </c>
      <c r="F168" t="s">
        <v>134</v>
      </c>
      <c r="G168" t="s">
        <v>801</v>
      </c>
    </row>
    <row r="169" spans="1:7" x14ac:dyDescent="0.25">
      <c r="A169" t="s">
        <v>802</v>
      </c>
      <c r="B169" t="s">
        <v>132</v>
      </c>
      <c r="C169" t="s">
        <v>133</v>
      </c>
      <c r="D169">
        <v>59</v>
      </c>
      <c r="E169" t="s">
        <v>784</v>
      </c>
      <c r="F169" t="s">
        <v>134</v>
      </c>
      <c r="G169" t="s">
        <v>803</v>
      </c>
    </row>
    <row r="170" spans="1:7" x14ac:dyDescent="0.25">
      <c r="A170" t="s">
        <v>804</v>
      </c>
      <c r="B170" t="s">
        <v>132</v>
      </c>
      <c r="C170" t="s">
        <v>133</v>
      </c>
      <c r="D170">
        <v>58</v>
      </c>
      <c r="E170" t="s">
        <v>784</v>
      </c>
      <c r="F170" t="s">
        <v>134</v>
      </c>
      <c r="G170" t="s">
        <v>805</v>
      </c>
    </row>
    <row r="171" spans="1:7" x14ac:dyDescent="0.25">
      <c r="A171" t="s">
        <v>806</v>
      </c>
      <c r="B171" t="s">
        <v>132</v>
      </c>
      <c r="C171" t="s">
        <v>133</v>
      </c>
      <c r="D171">
        <v>45</v>
      </c>
      <c r="E171" t="s">
        <v>784</v>
      </c>
      <c r="F171" t="s">
        <v>134</v>
      </c>
      <c r="G171" t="s">
        <v>807</v>
      </c>
    </row>
    <row r="172" spans="1:7" x14ac:dyDescent="0.25">
      <c r="A172" t="s">
        <v>808</v>
      </c>
      <c r="B172" t="s">
        <v>132</v>
      </c>
      <c r="C172" t="s">
        <v>133</v>
      </c>
      <c r="D172">
        <v>127</v>
      </c>
      <c r="E172" t="s">
        <v>784</v>
      </c>
      <c r="F172" t="s">
        <v>134</v>
      </c>
      <c r="G172" t="s">
        <v>809</v>
      </c>
    </row>
    <row r="173" spans="1:7" x14ac:dyDescent="0.25">
      <c r="A173" t="s">
        <v>810</v>
      </c>
      <c r="B173" t="s">
        <v>132</v>
      </c>
      <c r="C173" t="s">
        <v>133</v>
      </c>
      <c r="D173">
        <v>123</v>
      </c>
      <c r="E173" t="s">
        <v>784</v>
      </c>
      <c r="F173" t="s">
        <v>134</v>
      </c>
      <c r="G173" t="s">
        <v>811</v>
      </c>
    </row>
    <row r="174" spans="1:7" x14ac:dyDescent="0.25">
      <c r="A174" t="s">
        <v>812</v>
      </c>
      <c r="B174" t="s">
        <v>132</v>
      </c>
      <c r="C174" t="s">
        <v>133</v>
      </c>
      <c r="D174">
        <v>84</v>
      </c>
      <c r="E174" t="s">
        <v>784</v>
      </c>
      <c r="F174" t="s">
        <v>134</v>
      </c>
      <c r="G174" t="s">
        <v>813</v>
      </c>
    </row>
    <row r="175" spans="1:7" x14ac:dyDescent="0.25">
      <c r="A175" t="s">
        <v>814</v>
      </c>
      <c r="B175" t="s">
        <v>132</v>
      </c>
      <c r="C175" t="s">
        <v>133</v>
      </c>
      <c r="D175">
        <v>129</v>
      </c>
      <c r="E175" t="s">
        <v>784</v>
      </c>
      <c r="F175" t="s">
        <v>134</v>
      </c>
      <c r="G175" t="s">
        <v>815</v>
      </c>
    </row>
    <row r="176" spans="1:7" x14ac:dyDescent="0.25">
      <c r="A176" t="s">
        <v>816</v>
      </c>
      <c r="B176" t="s">
        <v>132</v>
      </c>
      <c r="C176" t="s">
        <v>133</v>
      </c>
      <c r="D176">
        <v>70</v>
      </c>
      <c r="E176" t="s">
        <v>784</v>
      </c>
      <c r="F176" t="s">
        <v>134</v>
      </c>
      <c r="G176" t="s">
        <v>817</v>
      </c>
    </row>
    <row r="177" spans="1:7" x14ac:dyDescent="0.25">
      <c r="A177" t="s">
        <v>818</v>
      </c>
      <c r="B177" t="s">
        <v>132</v>
      </c>
      <c r="C177" t="s">
        <v>133</v>
      </c>
      <c r="D177">
        <v>68</v>
      </c>
      <c r="E177" t="s">
        <v>784</v>
      </c>
      <c r="F177" t="s">
        <v>134</v>
      </c>
      <c r="G177" t="s">
        <v>819</v>
      </c>
    </row>
    <row r="178" spans="1:7" x14ac:dyDescent="0.25">
      <c r="A178" t="s">
        <v>820</v>
      </c>
      <c r="B178" t="s">
        <v>132</v>
      </c>
      <c r="C178" t="s">
        <v>133</v>
      </c>
      <c r="D178">
        <v>4</v>
      </c>
      <c r="E178" t="s">
        <v>784</v>
      </c>
      <c r="F178" t="s">
        <v>134</v>
      </c>
      <c r="G178" t="s">
        <v>821</v>
      </c>
    </row>
    <row r="179" spans="1:7" x14ac:dyDescent="0.25">
      <c r="A179" t="s">
        <v>822</v>
      </c>
      <c r="B179" t="s">
        <v>132</v>
      </c>
      <c r="C179" t="s">
        <v>133</v>
      </c>
      <c r="D179">
        <v>8</v>
      </c>
      <c r="E179" t="s">
        <v>784</v>
      </c>
      <c r="F179" t="s">
        <v>134</v>
      </c>
      <c r="G179" t="s">
        <v>823</v>
      </c>
    </row>
    <row r="180" spans="1:7" x14ac:dyDescent="0.25">
      <c r="A180" t="s">
        <v>824</v>
      </c>
      <c r="B180" t="s">
        <v>132</v>
      </c>
      <c r="C180" t="s">
        <v>133</v>
      </c>
      <c r="D180">
        <v>134</v>
      </c>
      <c r="E180" t="s">
        <v>784</v>
      </c>
      <c r="F180" t="s">
        <v>134</v>
      </c>
      <c r="G180" t="s">
        <v>825</v>
      </c>
    </row>
    <row r="181" spans="1:7" x14ac:dyDescent="0.25">
      <c r="A181" t="s">
        <v>831</v>
      </c>
      <c r="B181" t="s">
        <v>833</v>
      </c>
      <c r="C181" t="s">
        <v>834</v>
      </c>
      <c r="D181">
        <v>77</v>
      </c>
      <c r="E181" t="s">
        <v>832</v>
      </c>
      <c r="F181" t="s">
        <v>134</v>
      </c>
      <c r="G181" t="s">
        <v>832</v>
      </c>
    </row>
    <row r="182" spans="1:7" x14ac:dyDescent="0.25">
      <c r="A182" t="s">
        <v>835</v>
      </c>
      <c r="B182" t="s">
        <v>833</v>
      </c>
      <c r="C182" t="s">
        <v>834</v>
      </c>
      <c r="D182">
        <v>9</v>
      </c>
      <c r="E182" t="s">
        <v>836</v>
      </c>
      <c r="F182" t="s">
        <v>134</v>
      </c>
      <c r="G182" t="s">
        <v>836</v>
      </c>
    </row>
    <row r="183" spans="1:7" x14ac:dyDescent="0.25">
      <c r="A183" t="s">
        <v>837</v>
      </c>
      <c r="B183" t="s">
        <v>778</v>
      </c>
      <c r="C183" t="s">
        <v>779</v>
      </c>
      <c r="D183">
        <v>57</v>
      </c>
      <c r="E183" t="s">
        <v>838</v>
      </c>
      <c r="F183" t="s">
        <v>134</v>
      </c>
      <c r="G183" t="s">
        <v>838</v>
      </c>
    </row>
    <row r="184" spans="1:7" x14ac:dyDescent="0.25">
      <c r="A184" t="s">
        <v>81</v>
      </c>
      <c r="B184" t="s">
        <v>778</v>
      </c>
      <c r="C184" t="s">
        <v>779</v>
      </c>
      <c r="D184">
        <v>12</v>
      </c>
      <c r="E184" t="s">
        <v>841</v>
      </c>
      <c r="F184" t="s">
        <v>134</v>
      </c>
      <c r="G184" t="s">
        <v>82</v>
      </c>
    </row>
    <row r="185" spans="1:7" x14ac:dyDescent="0.25">
      <c r="A185" t="s">
        <v>85</v>
      </c>
      <c r="B185" t="s">
        <v>842</v>
      </c>
      <c r="C185" t="s">
        <v>774</v>
      </c>
      <c r="D185">
        <v>83</v>
      </c>
      <c r="E185" t="s">
        <v>843</v>
      </c>
      <c r="F185" t="s">
        <v>134</v>
      </c>
      <c r="G185" t="s">
        <v>86</v>
      </c>
    </row>
    <row r="186" spans="1:7" x14ac:dyDescent="0.25">
      <c r="A186" t="s">
        <v>844</v>
      </c>
      <c r="B186" t="s">
        <v>842</v>
      </c>
      <c r="C186" t="s">
        <v>774</v>
      </c>
      <c r="D186">
        <v>136</v>
      </c>
      <c r="E186" t="s">
        <v>845</v>
      </c>
      <c r="F186" t="s">
        <v>134</v>
      </c>
      <c r="G186" t="s">
        <v>845</v>
      </c>
    </row>
    <row r="187" spans="1:7" x14ac:dyDescent="0.25">
      <c r="A187" t="s">
        <v>846</v>
      </c>
      <c r="B187" t="s">
        <v>757</v>
      </c>
      <c r="C187" t="s">
        <v>758</v>
      </c>
      <c r="D187">
        <v>139</v>
      </c>
      <c r="E187" t="s">
        <v>847</v>
      </c>
      <c r="F187" t="s">
        <v>134</v>
      </c>
      <c r="G187" t="s">
        <v>847</v>
      </c>
    </row>
    <row r="188" spans="1:7" x14ac:dyDescent="0.25">
      <c r="A188" t="s">
        <v>858</v>
      </c>
      <c r="B188" t="s">
        <v>778</v>
      </c>
      <c r="C188" t="s">
        <v>779</v>
      </c>
      <c r="D188">
        <v>140</v>
      </c>
      <c r="E188" t="s">
        <v>859</v>
      </c>
      <c r="F188" t="s">
        <v>134</v>
      </c>
      <c r="G188" t="s">
        <v>859</v>
      </c>
    </row>
    <row r="189" spans="1:7" x14ac:dyDescent="0.25">
      <c r="A189" t="s">
        <v>860</v>
      </c>
      <c r="B189" t="s">
        <v>778</v>
      </c>
      <c r="C189" t="s">
        <v>779</v>
      </c>
      <c r="D189">
        <v>12</v>
      </c>
      <c r="E189" t="s">
        <v>841</v>
      </c>
      <c r="F189" t="s">
        <v>134</v>
      </c>
      <c r="G189" t="s">
        <v>841</v>
      </c>
    </row>
    <row r="190" spans="1:7" x14ac:dyDescent="0.25">
      <c r="A190" t="s">
        <v>862</v>
      </c>
      <c r="B190" t="s">
        <v>132</v>
      </c>
      <c r="C190" t="s">
        <v>133</v>
      </c>
      <c r="D190">
        <v>31</v>
      </c>
      <c r="E190" t="s">
        <v>863</v>
      </c>
      <c r="F190" t="s">
        <v>134</v>
      </c>
      <c r="G190" t="s">
        <v>86</v>
      </c>
    </row>
    <row r="191" spans="1:7" x14ac:dyDescent="0.25">
      <c r="A191" t="s">
        <v>868</v>
      </c>
      <c r="B191" t="s">
        <v>778</v>
      </c>
      <c r="C191" t="s">
        <v>779</v>
      </c>
      <c r="D191">
        <v>21</v>
      </c>
      <c r="E191" t="s">
        <v>870</v>
      </c>
      <c r="F191" t="s">
        <v>134</v>
      </c>
      <c r="G191" t="s">
        <v>869</v>
      </c>
    </row>
    <row r="192" spans="1:7" x14ac:dyDescent="0.25">
      <c r="A192" t="s">
        <v>877</v>
      </c>
      <c r="B192" t="s">
        <v>879</v>
      </c>
      <c r="C192" t="s">
        <v>880</v>
      </c>
      <c r="D192">
        <v>5</v>
      </c>
      <c r="E192" t="s">
        <v>878</v>
      </c>
      <c r="F192" t="s">
        <v>134</v>
      </c>
      <c r="G192" t="s">
        <v>878</v>
      </c>
    </row>
    <row r="193" spans="1:7" x14ac:dyDescent="0.25">
      <c r="A193" t="s">
        <v>882</v>
      </c>
      <c r="B193" t="s">
        <v>879</v>
      </c>
      <c r="C193" t="s">
        <v>880</v>
      </c>
      <c r="D193">
        <v>29</v>
      </c>
      <c r="E193" t="s">
        <v>883</v>
      </c>
      <c r="F193" t="s">
        <v>134</v>
      </c>
      <c r="G193" t="s">
        <v>883</v>
      </c>
    </row>
    <row r="194" spans="1:7" x14ac:dyDescent="0.25">
      <c r="A194" t="s">
        <v>885</v>
      </c>
      <c r="B194" t="s">
        <v>879</v>
      </c>
      <c r="C194" t="s">
        <v>880</v>
      </c>
      <c r="D194">
        <v>121</v>
      </c>
      <c r="E194" t="s">
        <v>886</v>
      </c>
      <c r="F194" t="s">
        <v>134</v>
      </c>
      <c r="G194" t="s">
        <v>886</v>
      </c>
    </row>
    <row r="195" spans="1:7" x14ac:dyDescent="0.25">
      <c r="A195" t="s">
        <v>887</v>
      </c>
      <c r="B195" t="s">
        <v>125</v>
      </c>
      <c r="C195" t="s">
        <v>126</v>
      </c>
      <c r="D195">
        <v>569</v>
      </c>
      <c r="E195" t="s">
        <v>888</v>
      </c>
      <c r="F195" t="s">
        <v>127</v>
      </c>
      <c r="G195" t="s">
        <v>888</v>
      </c>
    </row>
    <row r="196" spans="1:7" x14ac:dyDescent="0.25">
      <c r="A196">
        <v>50</v>
      </c>
      <c r="B196" t="s">
        <v>893</v>
      </c>
      <c r="C196" t="s">
        <v>891</v>
      </c>
      <c r="D196">
        <v>0</v>
      </c>
      <c r="E196">
        <v>0</v>
      </c>
      <c r="F196" t="s">
        <v>894</v>
      </c>
      <c r="G196" t="s">
        <v>891</v>
      </c>
    </row>
    <row r="197" spans="1:7" x14ac:dyDescent="0.25">
      <c r="A197">
        <v>0</v>
      </c>
      <c r="B197" t="s">
        <v>125</v>
      </c>
      <c r="C197" t="s">
        <v>126</v>
      </c>
      <c r="D197">
        <v>5</v>
      </c>
      <c r="E197" t="s">
        <v>902</v>
      </c>
      <c r="F197" t="s">
        <v>127</v>
      </c>
      <c r="G197" t="s">
        <v>902</v>
      </c>
    </row>
    <row r="198" spans="1:7" x14ac:dyDescent="0.25">
      <c r="A198">
        <v>0</v>
      </c>
      <c r="B198" t="s">
        <v>904</v>
      </c>
      <c r="C198" t="s">
        <v>467</v>
      </c>
      <c r="D198">
        <v>37</v>
      </c>
      <c r="E198" t="s">
        <v>903</v>
      </c>
      <c r="F198" t="s">
        <v>134</v>
      </c>
      <c r="G198" t="s">
        <v>903</v>
      </c>
    </row>
    <row r="199" spans="1:7" x14ac:dyDescent="0.25">
      <c r="A199">
        <v>0</v>
      </c>
      <c r="B199" t="s">
        <v>125</v>
      </c>
      <c r="C199" t="s">
        <v>126</v>
      </c>
      <c r="D199">
        <v>4</v>
      </c>
      <c r="E199" t="s">
        <v>905</v>
      </c>
      <c r="F199" t="s">
        <v>127</v>
      </c>
      <c r="G199" t="s">
        <v>905</v>
      </c>
    </row>
    <row r="200" spans="1:7" x14ac:dyDescent="0.25">
      <c r="A200">
        <v>0</v>
      </c>
      <c r="B200" t="s">
        <v>347</v>
      </c>
      <c r="C200" t="s">
        <v>792</v>
      </c>
      <c r="D200">
        <v>4.5</v>
      </c>
      <c r="E200" t="s">
        <v>903</v>
      </c>
      <c r="F200" t="s">
        <v>127</v>
      </c>
      <c r="G200" t="s">
        <v>906</v>
      </c>
    </row>
    <row r="201" spans="1:7" x14ac:dyDescent="0.25">
      <c r="A201" t="s">
        <v>1088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D012-BF26-4061-9C17-82D65226525C}">
  <dimension ref="A1:A5"/>
  <sheetViews>
    <sheetView workbookViewId="0">
      <selection activeCell="A4" sqref="A4"/>
    </sheetView>
  </sheetViews>
  <sheetFormatPr defaultRowHeight="15" x14ac:dyDescent="0.25"/>
  <cols>
    <col min="1" max="1" width="18.42578125" customWidth="1"/>
  </cols>
  <sheetData>
    <row r="1" spans="1:1" ht="33.75" x14ac:dyDescent="0.25">
      <c r="A1" s="35" t="s">
        <v>103</v>
      </c>
    </row>
    <row r="2" spans="1:1" ht="22.5" x14ac:dyDescent="0.25">
      <c r="A2" s="62" t="s">
        <v>127</v>
      </c>
    </row>
    <row r="3" spans="1:1" ht="33.75" x14ac:dyDescent="0.25">
      <c r="A3" s="62" t="s">
        <v>134</v>
      </c>
    </row>
    <row r="4" spans="1:1" x14ac:dyDescent="0.25">
      <c r="A4" s="62" t="s">
        <v>199</v>
      </c>
    </row>
    <row r="5" spans="1:1" ht="22.5" x14ac:dyDescent="0.25">
      <c r="A5" s="62" t="s">
        <v>894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420B-F3E8-4454-B72A-971A321E26CD}">
  <dimension ref="A1:B388"/>
  <sheetViews>
    <sheetView topLeftCell="A3" workbookViewId="0">
      <selection activeCell="C1" sqref="C1:C2"/>
    </sheetView>
  </sheetViews>
  <sheetFormatPr defaultRowHeight="15" x14ac:dyDescent="0.25"/>
  <cols>
    <col min="1" max="1" width="15.42578125" customWidth="1"/>
    <col min="2" max="2" width="51.5703125" customWidth="1"/>
  </cols>
  <sheetData>
    <row r="1" spans="1:2" ht="22.5" x14ac:dyDescent="0.25">
      <c r="A1" s="37">
        <v>7</v>
      </c>
      <c r="B1" s="38" t="s">
        <v>108</v>
      </c>
    </row>
    <row r="2" spans="1:2" x14ac:dyDescent="0.25">
      <c r="A2" s="46" t="s">
        <v>110</v>
      </c>
      <c r="B2" s="47" t="s">
        <v>19</v>
      </c>
    </row>
    <row r="3" spans="1:2" ht="22.5" x14ac:dyDescent="0.25">
      <c r="A3" s="46"/>
      <c r="B3" s="47" t="s">
        <v>112</v>
      </c>
    </row>
    <row r="4" spans="1:2" x14ac:dyDescent="0.25">
      <c r="A4" s="37">
        <v>8</v>
      </c>
      <c r="B4" s="38" t="s">
        <v>114</v>
      </c>
    </row>
    <row r="5" spans="1:2" x14ac:dyDescent="0.25">
      <c r="A5" s="46" t="s">
        <v>2153</v>
      </c>
      <c r="B5" s="47" t="s">
        <v>19</v>
      </c>
    </row>
    <row r="6" spans="1:2" ht="22.5" x14ac:dyDescent="0.25">
      <c r="A6" s="46" t="s">
        <v>2154</v>
      </c>
      <c r="B6" s="47" t="s">
        <v>112</v>
      </c>
    </row>
    <row r="7" spans="1:2" x14ac:dyDescent="0.25">
      <c r="A7" s="57" t="s">
        <v>119</v>
      </c>
      <c r="B7" s="58" t="s">
        <v>120</v>
      </c>
    </row>
    <row r="8" spans="1:2" x14ac:dyDescent="0.25">
      <c r="A8" s="46" t="s">
        <v>123</v>
      </c>
      <c r="B8" s="47" t="s">
        <v>124</v>
      </c>
    </row>
    <row r="9" spans="1:2" x14ac:dyDescent="0.25">
      <c r="A9" s="46" t="s">
        <v>130</v>
      </c>
      <c r="B9" s="47" t="s">
        <v>131</v>
      </c>
    </row>
    <row r="10" spans="1:2" x14ac:dyDescent="0.25">
      <c r="A10" s="46" t="s">
        <v>136</v>
      </c>
      <c r="B10" s="47" t="s">
        <v>137</v>
      </c>
    </row>
    <row r="11" spans="1:2" x14ac:dyDescent="0.25">
      <c r="A11" s="57" t="s">
        <v>138</v>
      </c>
      <c r="B11" s="58" t="s">
        <v>139</v>
      </c>
    </row>
    <row r="12" spans="1:2" x14ac:dyDescent="0.25">
      <c r="A12" s="46" t="s">
        <v>140</v>
      </c>
      <c r="B12" s="47" t="s">
        <v>141</v>
      </c>
    </row>
    <row r="13" spans="1:2" x14ac:dyDescent="0.25">
      <c r="A13" s="46" t="s">
        <v>142</v>
      </c>
      <c r="B13" s="47" t="s">
        <v>143</v>
      </c>
    </row>
    <row r="14" spans="1:2" x14ac:dyDescent="0.25">
      <c r="A14" s="46" t="s">
        <v>144</v>
      </c>
      <c r="B14" s="47" t="s">
        <v>145</v>
      </c>
    </row>
    <row r="15" spans="1:2" x14ac:dyDescent="0.25">
      <c r="A15" s="46" t="s">
        <v>146</v>
      </c>
      <c r="B15" s="47" t="s">
        <v>147</v>
      </c>
    </row>
    <row r="16" spans="1:2" x14ac:dyDescent="0.25">
      <c r="A16" s="57" t="s">
        <v>148</v>
      </c>
      <c r="B16" s="58" t="s">
        <v>149</v>
      </c>
    </row>
    <row r="17" spans="1:2" x14ac:dyDescent="0.25">
      <c r="A17" s="64">
        <v>9</v>
      </c>
      <c r="B17" s="65" t="s">
        <v>152</v>
      </c>
    </row>
    <row r="18" spans="1:2" x14ac:dyDescent="0.25">
      <c r="A18" s="43" t="s">
        <v>154</v>
      </c>
      <c r="B18" s="44" t="s">
        <v>155</v>
      </c>
    </row>
    <row r="19" spans="1:2" x14ac:dyDescent="0.25">
      <c r="A19" s="43" t="s">
        <v>156</v>
      </c>
      <c r="B19" s="44" t="s">
        <v>157</v>
      </c>
    </row>
    <row r="20" spans="1:2" x14ac:dyDescent="0.25">
      <c r="A20" s="43" t="s">
        <v>158</v>
      </c>
      <c r="B20" s="44" t="s">
        <v>159</v>
      </c>
    </row>
    <row r="21" spans="1:2" x14ac:dyDescent="0.25">
      <c r="A21" s="43" t="s">
        <v>160</v>
      </c>
      <c r="B21" s="44" t="s">
        <v>161</v>
      </c>
    </row>
    <row r="22" spans="1:2" x14ac:dyDescent="0.25">
      <c r="A22" s="43" t="s">
        <v>163</v>
      </c>
      <c r="B22" s="44" t="s">
        <v>164</v>
      </c>
    </row>
    <row r="23" spans="1:2" x14ac:dyDescent="0.25">
      <c r="A23" s="43" t="s">
        <v>165</v>
      </c>
      <c r="B23" s="44" t="s">
        <v>166</v>
      </c>
    </row>
    <row r="24" spans="1:2" x14ac:dyDescent="0.25">
      <c r="A24" s="43" t="s">
        <v>168</v>
      </c>
      <c r="B24" s="44" t="s">
        <v>169</v>
      </c>
    </row>
    <row r="25" spans="1:2" x14ac:dyDescent="0.25">
      <c r="A25" s="43" t="s">
        <v>171</v>
      </c>
      <c r="B25" s="44" t="s">
        <v>172</v>
      </c>
    </row>
    <row r="26" spans="1:2" x14ac:dyDescent="0.25">
      <c r="A26" s="43" t="s">
        <v>174</v>
      </c>
      <c r="B26" s="44" t="s">
        <v>175</v>
      </c>
    </row>
    <row r="27" spans="1:2" x14ac:dyDescent="0.25">
      <c r="A27" s="43" t="s">
        <v>176</v>
      </c>
      <c r="B27" s="44" t="s">
        <v>177</v>
      </c>
    </row>
    <row r="28" spans="1:2" x14ac:dyDescent="0.25">
      <c r="A28" s="43" t="s">
        <v>178</v>
      </c>
      <c r="B28" s="44" t="s">
        <v>179</v>
      </c>
    </row>
    <row r="29" spans="1:2" x14ac:dyDescent="0.25">
      <c r="A29" s="43" t="s">
        <v>180</v>
      </c>
      <c r="B29" s="44" t="s">
        <v>181</v>
      </c>
    </row>
    <row r="30" spans="1:2" x14ac:dyDescent="0.25">
      <c r="A30" s="43" t="s">
        <v>184</v>
      </c>
      <c r="B30" s="44" t="s">
        <v>185</v>
      </c>
    </row>
    <row r="31" spans="1:2" x14ac:dyDescent="0.25">
      <c r="A31" s="43" t="s">
        <v>189</v>
      </c>
      <c r="B31" s="44" t="s">
        <v>190</v>
      </c>
    </row>
    <row r="32" spans="1:2" x14ac:dyDescent="0.25">
      <c r="A32" s="67" t="s">
        <v>194</v>
      </c>
      <c r="B32" s="68" t="s">
        <v>195</v>
      </c>
    </row>
    <row r="33" spans="1:2" x14ac:dyDescent="0.25">
      <c r="A33" s="70">
        <v>10</v>
      </c>
      <c r="B33" s="71" t="s">
        <v>200</v>
      </c>
    </row>
    <row r="34" spans="1:2" x14ac:dyDescent="0.25">
      <c r="A34" s="48" t="s">
        <v>202</v>
      </c>
      <c r="B34" s="47" t="s">
        <v>203</v>
      </c>
    </row>
    <row r="35" spans="1:2" x14ac:dyDescent="0.25">
      <c r="A35" s="48" t="s">
        <v>204</v>
      </c>
      <c r="B35" s="47" t="s">
        <v>205</v>
      </c>
    </row>
    <row r="36" spans="1:2" x14ac:dyDescent="0.25">
      <c r="A36" s="48" t="s">
        <v>206</v>
      </c>
      <c r="B36" s="47" t="s">
        <v>207</v>
      </c>
    </row>
    <row r="37" spans="1:2" x14ac:dyDescent="0.25">
      <c r="A37" s="48" t="s">
        <v>208</v>
      </c>
      <c r="B37" s="47" t="s">
        <v>209</v>
      </c>
    </row>
    <row r="38" spans="1:2" x14ac:dyDescent="0.25">
      <c r="A38" s="48" t="s">
        <v>210</v>
      </c>
      <c r="B38" s="47" t="s">
        <v>211</v>
      </c>
    </row>
    <row r="39" spans="1:2" x14ac:dyDescent="0.25">
      <c r="A39" s="48" t="s">
        <v>213</v>
      </c>
      <c r="B39" s="47" t="s">
        <v>214</v>
      </c>
    </row>
    <row r="40" spans="1:2" x14ac:dyDescent="0.25">
      <c r="A40" s="74">
        <v>11</v>
      </c>
      <c r="B40" s="75" t="s">
        <v>216</v>
      </c>
    </row>
    <row r="41" spans="1:2" x14ac:dyDescent="0.25">
      <c r="A41" s="37">
        <v>12</v>
      </c>
      <c r="B41" s="38" t="s">
        <v>217</v>
      </c>
    </row>
    <row r="42" spans="1:2" x14ac:dyDescent="0.25">
      <c r="A42" s="46" t="s">
        <v>219</v>
      </c>
      <c r="B42" s="47" t="s">
        <v>19</v>
      </c>
    </row>
    <row r="43" spans="1:2" x14ac:dyDescent="0.25">
      <c r="A43" s="37">
        <v>13</v>
      </c>
      <c r="B43" s="38" t="s">
        <v>221</v>
      </c>
    </row>
    <row r="44" spans="1:2" x14ac:dyDescent="0.25">
      <c r="A44" s="46" t="s">
        <v>223</v>
      </c>
      <c r="B44" s="47" t="s">
        <v>19</v>
      </c>
    </row>
    <row r="45" spans="1:2" ht="22.5" x14ac:dyDescent="0.25">
      <c r="A45" s="46" t="s">
        <v>2155</v>
      </c>
      <c r="B45" s="47" t="s">
        <v>112</v>
      </c>
    </row>
    <row r="46" spans="1:2" x14ac:dyDescent="0.25">
      <c r="A46" s="37">
        <v>14</v>
      </c>
      <c r="B46" s="38" t="s">
        <v>114</v>
      </c>
    </row>
    <row r="47" spans="1:2" x14ac:dyDescent="0.25">
      <c r="A47" s="46" t="s">
        <v>227</v>
      </c>
      <c r="B47" s="47" t="s">
        <v>228</v>
      </c>
    </row>
    <row r="48" spans="1:2" x14ac:dyDescent="0.25">
      <c r="A48" s="46" t="s">
        <v>229</v>
      </c>
      <c r="B48" s="47" t="s">
        <v>139</v>
      </c>
    </row>
    <row r="49" spans="1:2" x14ac:dyDescent="0.25">
      <c r="A49" s="46" t="s">
        <v>230</v>
      </c>
      <c r="B49" s="47" t="s">
        <v>149</v>
      </c>
    </row>
    <row r="50" spans="1:2" x14ac:dyDescent="0.25">
      <c r="A50" s="37">
        <v>15</v>
      </c>
      <c r="B50" s="38" t="s">
        <v>231</v>
      </c>
    </row>
    <row r="51" spans="1:2" x14ac:dyDescent="0.25">
      <c r="A51" s="46" t="s">
        <v>2156</v>
      </c>
      <c r="B51" s="47" t="s">
        <v>19</v>
      </c>
    </row>
    <row r="52" spans="1:2" ht="22.5" x14ac:dyDescent="0.25">
      <c r="A52" s="46" t="s">
        <v>2157</v>
      </c>
      <c r="B52" s="47" t="s">
        <v>112</v>
      </c>
    </row>
    <row r="53" spans="1:2" x14ac:dyDescent="0.25">
      <c r="A53" s="46" t="s">
        <v>235</v>
      </c>
      <c r="B53" s="47" t="s">
        <v>236</v>
      </c>
    </row>
    <row r="54" spans="1:2" x14ac:dyDescent="0.25">
      <c r="A54" s="46" t="s">
        <v>237</v>
      </c>
      <c r="B54" s="47" t="s">
        <v>238</v>
      </c>
    </row>
    <row r="55" spans="1:2" x14ac:dyDescent="0.25">
      <c r="A55" s="46" t="s">
        <v>239</v>
      </c>
      <c r="B55" s="47" t="s">
        <v>240</v>
      </c>
    </row>
    <row r="56" spans="1:2" x14ac:dyDescent="0.25">
      <c r="A56" s="46" t="s">
        <v>241</v>
      </c>
      <c r="B56" s="47" t="s">
        <v>242</v>
      </c>
    </row>
    <row r="57" spans="1:2" x14ac:dyDescent="0.25">
      <c r="A57" s="46" t="s">
        <v>243</v>
      </c>
      <c r="B57" s="47" t="s">
        <v>244</v>
      </c>
    </row>
    <row r="58" spans="1:2" x14ac:dyDescent="0.25">
      <c r="A58" s="46" t="s">
        <v>245</v>
      </c>
      <c r="B58" s="47" t="s">
        <v>246</v>
      </c>
    </row>
    <row r="59" spans="1:2" x14ac:dyDescent="0.25">
      <c r="A59" s="46" t="s">
        <v>247</v>
      </c>
      <c r="B59" s="47" t="s">
        <v>248</v>
      </c>
    </row>
    <row r="60" spans="1:2" x14ac:dyDescent="0.25">
      <c r="A60" s="46" t="s">
        <v>249</v>
      </c>
      <c r="B60" s="47" t="s">
        <v>250</v>
      </c>
    </row>
    <row r="61" spans="1:2" x14ac:dyDescent="0.25">
      <c r="A61" s="40" t="s">
        <v>251</v>
      </c>
      <c r="B61" s="41" t="s">
        <v>252</v>
      </c>
    </row>
    <row r="62" spans="1:2" x14ac:dyDescent="0.25">
      <c r="A62" s="40" t="s">
        <v>253</v>
      </c>
      <c r="B62" s="41" t="s">
        <v>254</v>
      </c>
    </row>
    <row r="63" spans="1:2" x14ac:dyDescent="0.25">
      <c r="A63" s="40" t="s">
        <v>255</v>
      </c>
      <c r="B63" s="41" t="s">
        <v>256</v>
      </c>
    </row>
    <row r="64" spans="1:2" x14ac:dyDescent="0.25">
      <c r="A64" s="46" t="s">
        <v>257</v>
      </c>
      <c r="B64" s="47" t="s">
        <v>258</v>
      </c>
    </row>
    <row r="65" spans="1:2" x14ac:dyDescent="0.25">
      <c r="A65" s="40" t="s">
        <v>259</v>
      </c>
      <c r="B65" s="41" t="s">
        <v>260</v>
      </c>
    </row>
    <row r="66" spans="1:2" x14ac:dyDescent="0.25">
      <c r="A66" s="46" t="s">
        <v>261</v>
      </c>
      <c r="B66" s="47" t="s">
        <v>262</v>
      </c>
    </row>
    <row r="67" spans="1:2" x14ac:dyDescent="0.25">
      <c r="A67" s="46" t="s">
        <v>263</v>
      </c>
      <c r="B67" s="47" t="s">
        <v>264</v>
      </c>
    </row>
    <row r="68" spans="1:2" x14ac:dyDescent="0.25">
      <c r="A68" s="46" t="s">
        <v>265</v>
      </c>
      <c r="B68" s="47" t="s">
        <v>266</v>
      </c>
    </row>
    <row r="69" spans="1:2" x14ac:dyDescent="0.25">
      <c r="A69" s="37" t="s">
        <v>267</v>
      </c>
      <c r="B69" s="38" t="s">
        <v>268</v>
      </c>
    </row>
    <row r="70" spans="1:2" x14ac:dyDescent="0.25">
      <c r="A70" s="46" t="s">
        <v>2158</v>
      </c>
      <c r="B70" s="47" t="s">
        <v>19</v>
      </c>
    </row>
    <row r="71" spans="1:2" ht="22.5" x14ac:dyDescent="0.25">
      <c r="A71" s="46" t="s">
        <v>2159</v>
      </c>
      <c r="B71" s="47" t="s">
        <v>112</v>
      </c>
    </row>
    <row r="72" spans="1:2" x14ac:dyDescent="0.25">
      <c r="A72" s="46" t="s">
        <v>273</v>
      </c>
      <c r="B72" s="47" t="s">
        <v>274</v>
      </c>
    </row>
    <row r="73" spans="1:2" x14ac:dyDescent="0.25">
      <c r="A73" s="46" t="s">
        <v>276</v>
      </c>
      <c r="B73" s="47" t="s">
        <v>277</v>
      </c>
    </row>
    <row r="74" spans="1:2" x14ac:dyDescent="0.25">
      <c r="A74" s="46" t="s">
        <v>279</v>
      </c>
      <c r="B74" s="47" t="s">
        <v>280</v>
      </c>
    </row>
    <row r="75" spans="1:2" x14ac:dyDescent="0.25">
      <c r="A75" s="46" t="s">
        <v>281</v>
      </c>
      <c r="B75" s="47" t="s">
        <v>282</v>
      </c>
    </row>
    <row r="76" spans="1:2" x14ac:dyDescent="0.25">
      <c r="A76" s="46" t="s">
        <v>284</v>
      </c>
      <c r="B76" s="47" t="s">
        <v>285</v>
      </c>
    </row>
    <row r="77" spans="1:2" x14ac:dyDescent="0.25">
      <c r="A77" s="46" t="s">
        <v>286</v>
      </c>
      <c r="B77" s="47" t="s">
        <v>287</v>
      </c>
    </row>
    <row r="78" spans="1:2" x14ac:dyDescent="0.25">
      <c r="A78" s="46" t="s">
        <v>289</v>
      </c>
      <c r="B78" s="47" t="s">
        <v>290</v>
      </c>
    </row>
    <row r="79" spans="1:2" x14ac:dyDescent="0.25">
      <c r="A79" s="37">
        <v>17</v>
      </c>
      <c r="B79" s="38" t="s">
        <v>292</v>
      </c>
    </row>
    <row r="80" spans="1:2" x14ac:dyDescent="0.25">
      <c r="A80" s="46" t="s">
        <v>295</v>
      </c>
      <c r="B80" s="47" t="s">
        <v>292</v>
      </c>
    </row>
    <row r="81" spans="1:2" x14ac:dyDescent="0.25">
      <c r="A81" s="46" t="s">
        <v>296</v>
      </c>
      <c r="B81" s="47" t="s">
        <v>297</v>
      </c>
    </row>
    <row r="82" spans="1:2" x14ac:dyDescent="0.25">
      <c r="A82" s="46" t="s">
        <v>298</v>
      </c>
      <c r="B82" s="47" t="s">
        <v>299</v>
      </c>
    </row>
    <row r="83" spans="1:2" x14ac:dyDescent="0.25">
      <c r="A83" s="46" t="s">
        <v>300</v>
      </c>
      <c r="B83" s="47" t="s">
        <v>301</v>
      </c>
    </row>
    <row r="84" spans="1:2" x14ac:dyDescent="0.25">
      <c r="A84" s="46" t="s">
        <v>302</v>
      </c>
      <c r="B84" s="47" t="s">
        <v>303</v>
      </c>
    </row>
    <row r="85" spans="1:2" x14ac:dyDescent="0.25">
      <c r="A85" s="46" t="s">
        <v>304</v>
      </c>
      <c r="B85" s="47" t="s">
        <v>305</v>
      </c>
    </row>
    <row r="86" spans="1:2" x14ac:dyDescent="0.25">
      <c r="A86" s="46" t="s">
        <v>306</v>
      </c>
      <c r="B86" s="47" t="s">
        <v>307</v>
      </c>
    </row>
    <row r="87" spans="1:2" x14ac:dyDescent="0.25">
      <c r="A87" s="46" t="s">
        <v>308</v>
      </c>
      <c r="B87" s="47" t="s">
        <v>309</v>
      </c>
    </row>
    <row r="88" spans="1:2" x14ac:dyDescent="0.25">
      <c r="A88" s="37">
        <v>18</v>
      </c>
      <c r="B88" s="38" t="s">
        <v>310</v>
      </c>
    </row>
    <row r="89" spans="1:2" x14ac:dyDescent="0.25">
      <c r="A89" s="40" t="s">
        <v>313</v>
      </c>
      <c r="B89" s="41" t="s">
        <v>314</v>
      </c>
    </row>
    <row r="90" spans="1:2" x14ac:dyDescent="0.25">
      <c r="A90" s="46" t="s">
        <v>316</v>
      </c>
      <c r="B90" s="47" t="s">
        <v>317</v>
      </c>
    </row>
    <row r="91" spans="1:2" x14ac:dyDescent="0.25">
      <c r="A91" s="46" t="s">
        <v>318</v>
      </c>
      <c r="B91" s="47" t="s">
        <v>317</v>
      </c>
    </row>
    <row r="92" spans="1:2" x14ac:dyDescent="0.25">
      <c r="A92" s="46" t="s">
        <v>319</v>
      </c>
      <c r="B92" s="47" t="s">
        <v>320</v>
      </c>
    </row>
    <row r="93" spans="1:2" x14ac:dyDescent="0.25">
      <c r="A93" s="40" t="s">
        <v>321</v>
      </c>
      <c r="B93" s="41" t="s">
        <v>322</v>
      </c>
    </row>
    <row r="94" spans="1:2" x14ac:dyDescent="0.25">
      <c r="A94" s="40" t="s">
        <v>323</v>
      </c>
      <c r="B94" s="41" t="s">
        <v>324</v>
      </c>
    </row>
    <row r="95" spans="1:2" x14ac:dyDescent="0.25">
      <c r="A95" s="46" t="s">
        <v>325</v>
      </c>
      <c r="B95" s="47" t="s">
        <v>326</v>
      </c>
    </row>
    <row r="96" spans="1:2" x14ac:dyDescent="0.25">
      <c r="A96" s="37">
        <v>19</v>
      </c>
      <c r="B96" s="38" t="s">
        <v>328</v>
      </c>
    </row>
    <row r="97" spans="1:2" x14ac:dyDescent="0.25">
      <c r="A97" s="46" t="s">
        <v>2160</v>
      </c>
      <c r="B97" s="47" t="s">
        <v>19</v>
      </c>
    </row>
    <row r="98" spans="1:2" ht="22.5" x14ac:dyDescent="0.25">
      <c r="A98" s="46" t="s">
        <v>2161</v>
      </c>
      <c r="B98" s="47" t="s">
        <v>112</v>
      </c>
    </row>
    <row r="99" spans="1:2" x14ac:dyDescent="0.25">
      <c r="A99" s="40" t="s">
        <v>331</v>
      </c>
      <c r="B99" s="41" t="s">
        <v>332</v>
      </c>
    </row>
    <row r="100" spans="1:2" x14ac:dyDescent="0.25">
      <c r="A100" s="46" t="s">
        <v>333</v>
      </c>
      <c r="B100" s="47" t="s">
        <v>334</v>
      </c>
    </row>
    <row r="101" spans="1:2" x14ac:dyDescent="0.25">
      <c r="A101" s="46" t="s">
        <v>336</v>
      </c>
      <c r="B101" s="47" t="s">
        <v>337</v>
      </c>
    </row>
    <row r="102" spans="1:2" x14ac:dyDescent="0.25">
      <c r="A102" s="46" t="s">
        <v>338</v>
      </c>
      <c r="B102" s="47" t="s">
        <v>339</v>
      </c>
    </row>
    <row r="103" spans="1:2" x14ac:dyDescent="0.25">
      <c r="A103" s="46" t="s">
        <v>340</v>
      </c>
      <c r="B103" s="47" t="s">
        <v>341</v>
      </c>
    </row>
    <row r="104" spans="1:2" x14ac:dyDescent="0.25">
      <c r="A104" s="37">
        <v>20</v>
      </c>
      <c r="B104" s="38" t="s">
        <v>344</v>
      </c>
    </row>
    <row r="105" spans="1:2" x14ac:dyDescent="0.25">
      <c r="A105" s="46" t="s">
        <v>2162</v>
      </c>
      <c r="B105" s="47" t="s">
        <v>19</v>
      </c>
    </row>
    <row r="106" spans="1:2" ht="22.5" x14ac:dyDescent="0.25">
      <c r="A106" s="46" t="s">
        <v>2163</v>
      </c>
      <c r="B106" s="47" t="s">
        <v>112</v>
      </c>
    </row>
    <row r="107" spans="1:2" x14ac:dyDescent="0.25">
      <c r="A107" s="46" t="s">
        <v>347</v>
      </c>
      <c r="B107" s="47" t="s">
        <v>348</v>
      </c>
    </row>
    <row r="108" spans="1:2" x14ac:dyDescent="0.25">
      <c r="A108" s="46" t="s">
        <v>350</v>
      </c>
      <c r="B108" s="47" t="s">
        <v>348</v>
      </c>
    </row>
    <row r="109" spans="1:2" x14ac:dyDescent="0.25">
      <c r="A109" s="46" t="s">
        <v>351</v>
      </c>
      <c r="B109" s="47" t="s">
        <v>352</v>
      </c>
    </row>
    <row r="110" spans="1:2" x14ac:dyDescent="0.25">
      <c r="A110" s="46" t="s">
        <v>353</v>
      </c>
      <c r="B110" s="47" t="s">
        <v>354</v>
      </c>
    </row>
    <row r="111" spans="1:2" x14ac:dyDescent="0.25">
      <c r="A111" s="40" t="s">
        <v>363</v>
      </c>
      <c r="B111" s="41" t="s">
        <v>262</v>
      </c>
    </row>
    <row r="112" spans="1:2" x14ac:dyDescent="0.25">
      <c r="A112" s="40" t="s">
        <v>364</v>
      </c>
      <c r="B112" s="41" t="s">
        <v>365</v>
      </c>
    </row>
    <row r="113" spans="1:2" x14ac:dyDescent="0.25">
      <c r="A113" s="40" t="s">
        <v>366</v>
      </c>
      <c r="B113" s="41" t="s">
        <v>367</v>
      </c>
    </row>
    <row r="114" spans="1:2" x14ac:dyDescent="0.25">
      <c r="A114" s="40" t="s">
        <v>368</v>
      </c>
      <c r="B114" s="41" t="s">
        <v>369</v>
      </c>
    </row>
    <row r="115" spans="1:2" x14ac:dyDescent="0.25">
      <c r="A115" s="37">
        <v>21</v>
      </c>
      <c r="B115" s="38" t="s">
        <v>370</v>
      </c>
    </row>
    <row r="116" spans="1:2" x14ac:dyDescent="0.25">
      <c r="A116" s="46" t="s">
        <v>2164</v>
      </c>
      <c r="B116" s="47" t="s">
        <v>19</v>
      </c>
    </row>
    <row r="117" spans="1:2" ht="22.5" x14ac:dyDescent="0.25">
      <c r="A117" s="46" t="s">
        <v>2165</v>
      </c>
      <c r="B117" s="47" t="s">
        <v>112</v>
      </c>
    </row>
    <row r="118" spans="1:2" x14ac:dyDescent="0.25">
      <c r="A118" s="46" t="s">
        <v>375</v>
      </c>
      <c r="B118" s="47" t="s">
        <v>376</v>
      </c>
    </row>
    <row r="119" spans="1:2" x14ac:dyDescent="0.25">
      <c r="A119" s="46" t="s">
        <v>379</v>
      </c>
      <c r="B119" s="47" t="s">
        <v>380</v>
      </c>
    </row>
    <row r="120" spans="1:2" x14ac:dyDescent="0.25">
      <c r="A120" s="46" t="s">
        <v>381</v>
      </c>
      <c r="B120" s="47" t="s">
        <v>382</v>
      </c>
    </row>
    <row r="121" spans="1:2" x14ac:dyDescent="0.25">
      <c r="A121" s="46" t="s">
        <v>383</v>
      </c>
      <c r="B121" s="47" t="s">
        <v>384</v>
      </c>
    </row>
    <row r="122" spans="1:2" x14ac:dyDescent="0.25">
      <c r="A122" s="46" t="s">
        <v>385</v>
      </c>
      <c r="B122" s="47" t="s">
        <v>386</v>
      </c>
    </row>
    <row r="123" spans="1:2" x14ac:dyDescent="0.25">
      <c r="A123" s="46" t="s">
        <v>387</v>
      </c>
      <c r="B123" s="47" t="s">
        <v>388</v>
      </c>
    </row>
    <row r="124" spans="1:2" x14ac:dyDescent="0.25">
      <c r="A124" s="46" t="s">
        <v>389</v>
      </c>
      <c r="B124" s="47" t="s">
        <v>390</v>
      </c>
    </row>
    <row r="125" spans="1:2" x14ac:dyDescent="0.25">
      <c r="A125" s="46" t="s">
        <v>393</v>
      </c>
      <c r="B125" s="47" t="s">
        <v>394</v>
      </c>
    </row>
    <row r="126" spans="1:2" x14ac:dyDescent="0.25">
      <c r="A126" s="46" t="s">
        <v>396</v>
      </c>
      <c r="B126" s="47" t="s">
        <v>397</v>
      </c>
    </row>
    <row r="127" spans="1:2" x14ac:dyDescent="0.25">
      <c r="A127" s="46" t="s">
        <v>398</v>
      </c>
      <c r="B127" s="47" t="s">
        <v>399</v>
      </c>
    </row>
    <row r="128" spans="1:2" x14ac:dyDescent="0.25">
      <c r="A128" s="46" t="s">
        <v>400</v>
      </c>
      <c r="B128" s="47" t="s">
        <v>401</v>
      </c>
    </row>
    <row r="129" spans="1:2" x14ac:dyDescent="0.25">
      <c r="A129" s="46" t="s">
        <v>402</v>
      </c>
      <c r="B129" s="47" t="s">
        <v>403</v>
      </c>
    </row>
    <row r="130" spans="1:2" x14ac:dyDescent="0.25">
      <c r="A130" s="46" t="s">
        <v>404</v>
      </c>
      <c r="B130" s="47" t="s">
        <v>405</v>
      </c>
    </row>
    <row r="131" spans="1:2" x14ac:dyDescent="0.25">
      <c r="A131" s="37">
        <v>22</v>
      </c>
      <c r="B131" s="38" t="s">
        <v>406</v>
      </c>
    </row>
    <row r="132" spans="1:2" x14ac:dyDescent="0.25">
      <c r="A132" s="46" t="s">
        <v>2166</v>
      </c>
      <c r="B132" s="47" t="s">
        <v>19</v>
      </c>
    </row>
    <row r="133" spans="1:2" ht="22.5" x14ac:dyDescent="0.25">
      <c r="A133" s="46" t="s">
        <v>2167</v>
      </c>
      <c r="B133" s="47" t="s">
        <v>112</v>
      </c>
    </row>
    <row r="134" spans="1:2" x14ac:dyDescent="0.25">
      <c r="A134" s="46" t="s">
        <v>409</v>
      </c>
      <c r="B134" s="47" t="s">
        <v>410</v>
      </c>
    </row>
    <row r="135" spans="1:2" x14ac:dyDescent="0.25">
      <c r="A135" s="46" t="s">
        <v>411</v>
      </c>
      <c r="B135" s="47" t="s">
        <v>412</v>
      </c>
    </row>
    <row r="136" spans="1:2" x14ac:dyDescent="0.25">
      <c r="A136" s="46" t="s">
        <v>414</v>
      </c>
      <c r="B136" s="47" t="s">
        <v>415</v>
      </c>
    </row>
    <row r="137" spans="1:2" x14ac:dyDescent="0.25">
      <c r="A137" s="46" t="s">
        <v>417</v>
      </c>
      <c r="B137" s="47" t="s">
        <v>418</v>
      </c>
    </row>
    <row r="138" spans="1:2" x14ac:dyDescent="0.25">
      <c r="A138" s="46" t="s">
        <v>419</v>
      </c>
      <c r="B138" s="47" t="s">
        <v>420</v>
      </c>
    </row>
    <row r="139" spans="1:2" x14ac:dyDescent="0.25">
      <c r="A139" s="46" t="s">
        <v>422</v>
      </c>
      <c r="B139" s="47" t="s">
        <v>423</v>
      </c>
    </row>
    <row r="140" spans="1:2" x14ac:dyDescent="0.25">
      <c r="A140" s="46" t="s">
        <v>424</v>
      </c>
      <c r="B140" s="47" t="s">
        <v>425</v>
      </c>
    </row>
    <row r="141" spans="1:2" x14ac:dyDescent="0.25">
      <c r="A141" s="46" t="s">
        <v>427</v>
      </c>
      <c r="B141" s="47" t="s">
        <v>425</v>
      </c>
    </row>
    <row r="142" spans="1:2" x14ac:dyDescent="0.25">
      <c r="A142" s="46" t="s">
        <v>428</v>
      </c>
      <c r="B142" s="47" t="s">
        <v>429</v>
      </c>
    </row>
    <row r="143" spans="1:2" x14ac:dyDescent="0.25">
      <c r="A143" s="37">
        <v>23</v>
      </c>
      <c r="B143" s="38" t="s">
        <v>430</v>
      </c>
    </row>
    <row r="144" spans="1:2" x14ac:dyDescent="0.25">
      <c r="A144" s="46" t="s">
        <v>2168</v>
      </c>
      <c r="B144" s="47" t="s">
        <v>19</v>
      </c>
    </row>
    <row r="145" spans="1:2" ht="22.5" x14ac:dyDescent="0.25">
      <c r="A145" s="46" t="s">
        <v>2169</v>
      </c>
      <c r="B145" s="47" t="s">
        <v>112</v>
      </c>
    </row>
    <row r="146" spans="1:2" x14ac:dyDescent="0.25">
      <c r="A146" s="46" t="s">
        <v>433</v>
      </c>
      <c r="B146" s="47" t="s">
        <v>434</v>
      </c>
    </row>
    <row r="147" spans="1:2" x14ac:dyDescent="0.25">
      <c r="A147" s="46" t="s">
        <v>436</v>
      </c>
      <c r="B147" s="47" t="s">
        <v>437</v>
      </c>
    </row>
    <row r="148" spans="1:2" x14ac:dyDescent="0.25">
      <c r="A148" s="46" t="s">
        <v>438</v>
      </c>
      <c r="B148" s="47" t="s">
        <v>439</v>
      </c>
    </row>
    <row r="149" spans="1:2" x14ac:dyDescent="0.25">
      <c r="A149" s="46" t="s">
        <v>440</v>
      </c>
      <c r="B149" s="47" t="s">
        <v>441</v>
      </c>
    </row>
    <row r="150" spans="1:2" x14ac:dyDescent="0.25">
      <c r="A150" s="46" t="s">
        <v>443</v>
      </c>
      <c r="B150" s="87" t="s">
        <v>444</v>
      </c>
    </row>
    <row r="151" spans="1:2" x14ac:dyDescent="0.25">
      <c r="A151" s="46" t="s">
        <v>446</v>
      </c>
      <c r="B151" s="47" t="s">
        <v>447</v>
      </c>
    </row>
    <row r="152" spans="1:2" x14ac:dyDescent="0.25">
      <c r="A152" s="46" t="s">
        <v>448</v>
      </c>
      <c r="B152" s="47" t="s">
        <v>444</v>
      </c>
    </row>
    <row r="153" spans="1:2" x14ac:dyDescent="0.25">
      <c r="A153" s="46" t="s">
        <v>449</v>
      </c>
      <c r="B153" s="47" t="s">
        <v>450</v>
      </c>
    </row>
    <row r="154" spans="1:2" x14ac:dyDescent="0.25">
      <c r="A154" s="46" t="s">
        <v>451</v>
      </c>
      <c r="B154" s="47" t="s">
        <v>452</v>
      </c>
    </row>
    <row r="155" spans="1:2" x14ac:dyDescent="0.25">
      <c r="A155" s="46" t="s">
        <v>453</v>
      </c>
      <c r="B155" s="47" t="s">
        <v>454</v>
      </c>
    </row>
    <row r="156" spans="1:2" x14ac:dyDescent="0.25">
      <c r="A156" s="46" t="s">
        <v>455</v>
      </c>
      <c r="B156" s="47" t="s">
        <v>450</v>
      </c>
    </row>
    <row r="157" spans="1:2" x14ac:dyDescent="0.25">
      <c r="A157" s="46" t="s">
        <v>456</v>
      </c>
      <c r="B157" s="47" t="s">
        <v>457</v>
      </c>
    </row>
    <row r="158" spans="1:2" x14ac:dyDescent="0.25">
      <c r="A158" s="46" t="s">
        <v>458</v>
      </c>
      <c r="B158" s="47" t="s">
        <v>262</v>
      </c>
    </row>
    <row r="159" spans="1:2" x14ac:dyDescent="0.25">
      <c r="A159" s="46" t="s">
        <v>459</v>
      </c>
      <c r="B159" s="47" t="s">
        <v>460</v>
      </c>
    </row>
    <row r="160" spans="1:2" x14ac:dyDescent="0.25">
      <c r="A160" s="46" t="s">
        <v>461</v>
      </c>
      <c r="B160" s="47" t="s">
        <v>462</v>
      </c>
    </row>
    <row r="161" spans="1:2" x14ac:dyDescent="0.25">
      <c r="A161" s="37">
        <v>24</v>
      </c>
      <c r="B161" s="38" t="s">
        <v>463</v>
      </c>
    </row>
    <row r="162" spans="1:2" ht="33.75" x14ac:dyDescent="0.25">
      <c r="A162" s="46" t="s">
        <v>459</v>
      </c>
      <c r="B162" s="47" t="s">
        <v>465</v>
      </c>
    </row>
    <row r="163" spans="1:2" ht="33.75" x14ac:dyDescent="0.25">
      <c r="A163" s="46" t="s">
        <v>459</v>
      </c>
      <c r="B163" s="47" t="s">
        <v>465</v>
      </c>
    </row>
    <row r="164" spans="1:2" x14ac:dyDescent="0.25">
      <c r="A164" s="74">
        <v>25</v>
      </c>
      <c r="B164" s="75" t="s">
        <v>470</v>
      </c>
    </row>
    <row r="165" spans="1:2" x14ac:dyDescent="0.25">
      <c r="A165" s="37">
        <v>26</v>
      </c>
      <c r="B165" s="38" t="s">
        <v>471</v>
      </c>
    </row>
    <row r="166" spans="1:2" x14ac:dyDescent="0.25">
      <c r="A166" s="46" t="s">
        <v>2170</v>
      </c>
      <c r="B166" s="47" t="s">
        <v>19</v>
      </c>
    </row>
    <row r="167" spans="1:2" ht="22.5" x14ac:dyDescent="0.25">
      <c r="A167" s="46" t="s">
        <v>2171</v>
      </c>
      <c r="B167" s="47" t="s">
        <v>112</v>
      </c>
    </row>
    <row r="168" spans="1:2" x14ac:dyDescent="0.25">
      <c r="A168" s="46" t="s">
        <v>474</v>
      </c>
      <c r="B168" s="47" t="s">
        <v>475</v>
      </c>
    </row>
    <row r="169" spans="1:2" x14ac:dyDescent="0.25">
      <c r="A169" s="46" t="s">
        <v>478</v>
      </c>
      <c r="B169" s="47" t="s">
        <v>479</v>
      </c>
    </row>
    <row r="170" spans="1:2" x14ac:dyDescent="0.25">
      <c r="A170" s="40" t="s">
        <v>481</v>
      </c>
      <c r="B170" s="41" t="s">
        <v>482</v>
      </c>
    </row>
    <row r="171" spans="1:2" x14ac:dyDescent="0.25">
      <c r="A171" s="40" t="s">
        <v>483</v>
      </c>
      <c r="B171" s="41" t="s">
        <v>95</v>
      </c>
    </row>
    <row r="172" spans="1:2" x14ac:dyDescent="0.25">
      <c r="A172" s="37">
        <v>28</v>
      </c>
      <c r="B172" s="38" t="s">
        <v>484</v>
      </c>
    </row>
    <row r="173" spans="1:2" x14ac:dyDescent="0.25">
      <c r="A173" s="46" t="s">
        <v>2172</v>
      </c>
      <c r="B173" s="47" t="s">
        <v>19</v>
      </c>
    </row>
    <row r="174" spans="1:2" ht="22.5" x14ac:dyDescent="0.25">
      <c r="A174" s="46" t="s">
        <v>2173</v>
      </c>
      <c r="B174" s="47" t="s">
        <v>112</v>
      </c>
    </row>
    <row r="175" spans="1:2" x14ac:dyDescent="0.25">
      <c r="A175" s="46" t="s">
        <v>487</v>
      </c>
      <c r="B175" s="47" t="s">
        <v>488</v>
      </c>
    </row>
    <row r="176" spans="1:2" x14ac:dyDescent="0.25">
      <c r="A176" s="46" t="s">
        <v>490</v>
      </c>
      <c r="B176" s="47" t="s">
        <v>491</v>
      </c>
    </row>
    <row r="177" spans="1:2" x14ac:dyDescent="0.25">
      <c r="A177" s="46" t="s">
        <v>492</v>
      </c>
      <c r="B177" s="47" t="s">
        <v>493</v>
      </c>
    </row>
    <row r="178" spans="1:2" x14ac:dyDescent="0.25">
      <c r="A178" s="46" t="s">
        <v>497</v>
      </c>
      <c r="B178" s="47" t="s">
        <v>498</v>
      </c>
    </row>
    <row r="179" spans="1:2" x14ac:dyDescent="0.25">
      <c r="A179" s="46" t="s">
        <v>500</v>
      </c>
      <c r="B179" s="47" t="s">
        <v>501</v>
      </c>
    </row>
    <row r="180" spans="1:2" x14ac:dyDescent="0.25">
      <c r="A180" s="46" t="s">
        <v>504</v>
      </c>
      <c r="B180" s="47" t="s">
        <v>505</v>
      </c>
    </row>
    <row r="181" spans="1:2" x14ac:dyDescent="0.25">
      <c r="A181" s="46" t="s">
        <v>507</v>
      </c>
      <c r="B181" s="47" t="s">
        <v>508</v>
      </c>
    </row>
    <row r="182" spans="1:2" x14ac:dyDescent="0.25">
      <c r="A182" s="46" t="s">
        <v>509</v>
      </c>
      <c r="B182" s="47" t="s">
        <v>510</v>
      </c>
    </row>
    <row r="183" spans="1:2" x14ac:dyDescent="0.25">
      <c r="A183" s="37">
        <v>29</v>
      </c>
      <c r="B183" s="38" t="s">
        <v>511</v>
      </c>
    </row>
    <row r="184" spans="1:2" x14ac:dyDescent="0.25">
      <c r="A184" s="46" t="s">
        <v>2174</v>
      </c>
      <c r="B184" s="47" t="s">
        <v>19</v>
      </c>
    </row>
    <row r="185" spans="1:2" ht="22.5" x14ac:dyDescent="0.25">
      <c r="A185" s="46" t="s">
        <v>2175</v>
      </c>
      <c r="B185" s="47" t="s">
        <v>112</v>
      </c>
    </row>
    <row r="186" spans="1:2" x14ac:dyDescent="0.25">
      <c r="A186" s="46" t="s">
        <v>514</v>
      </c>
      <c r="B186" s="47" t="s">
        <v>515</v>
      </c>
    </row>
    <row r="187" spans="1:2" x14ac:dyDescent="0.25">
      <c r="A187" s="46" t="s">
        <v>516</v>
      </c>
      <c r="B187" s="47" t="s">
        <v>517</v>
      </c>
    </row>
    <row r="188" spans="1:2" x14ac:dyDescent="0.25">
      <c r="A188" s="46" t="s">
        <v>518</v>
      </c>
      <c r="B188" s="47" t="s">
        <v>519</v>
      </c>
    </row>
    <row r="189" spans="1:2" x14ac:dyDescent="0.25">
      <c r="A189" s="46" t="s">
        <v>520</v>
      </c>
      <c r="B189" s="47" t="s">
        <v>521</v>
      </c>
    </row>
    <row r="190" spans="1:2" x14ac:dyDescent="0.25">
      <c r="A190" s="46" t="s">
        <v>523</v>
      </c>
      <c r="B190" s="47" t="s">
        <v>524</v>
      </c>
    </row>
    <row r="191" spans="1:2" x14ac:dyDescent="0.25">
      <c r="A191" s="46" t="s">
        <v>526</v>
      </c>
      <c r="B191" s="47" t="s">
        <v>527</v>
      </c>
    </row>
    <row r="192" spans="1:2" x14ac:dyDescent="0.25">
      <c r="A192" s="46" t="s">
        <v>528</v>
      </c>
      <c r="B192" s="47" t="s">
        <v>529</v>
      </c>
    </row>
    <row r="193" spans="1:2" x14ac:dyDescent="0.25">
      <c r="A193" s="46" t="s">
        <v>530</v>
      </c>
      <c r="B193" s="47" t="s">
        <v>531</v>
      </c>
    </row>
    <row r="194" spans="1:2" ht="33.75" x14ac:dyDescent="0.25">
      <c r="A194" s="46" t="s">
        <v>534</v>
      </c>
      <c r="B194" s="47" t="s">
        <v>535</v>
      </c>
    </row>
    <row r="195" spans="1:2" x14ac:dyDescent="0.25">
      <c r="A195" s="46" t="s">
        <v>536</v>
      </c>
      <c r="B195" s="47" t="s">
        <v>537</v>
      </c>
    </row>
    <row r="196" spans="1:2" x14ac:dyDescent="0.25">
      <c r="A196" s="46" t="s">
        <v>538</v>
      </c>
      <c r="B196" s="47" t="s">
        <v>539</v>
      </c>
    </row>
    <row r="197" spans="1:2" x14ac:dyDescent="0.25">
      <c r="A197" s="46" t="s">
        <v>540</v>
      </c>
      <c r="B197" s="47" t="s">
        <v>541</v>
      </c>
    </row>
    <row r="198" spans="1:2" x14ac:dyDescent="0.25">
      <c r="A198" s="46" t="s">
        <v>542</v>
      </c>
      <c r="B198" s="47" t="s">
        <v>543</v>
      </c>
    </row>
    <row r="199" spans="1:2" x14ac:dyDescent="0.25">
      <c r="A199" s="46" t="s">
        <v>544</v>
      </c>
      <c r="B199" s="47" t="s">
        <v>545</v>
      </c>
    </row>
    <row r="200" spans="1:2" x14ac:dyDescent="0.25">
      <c r="A200" s="43" t="s">
        <v>2176</v>
      </c>
      <c r="B200" s="44" t="s">
        <v>546</v>
      </c>
    </row>
    <row r="201" spans="1:2" x14ac:dyDescent="0.25">
      <c r="A201" s="43" t="s">
        <v>2177</v>
      </c>
      <c r="B201" s="44" t="s">
        <v>547</v>
      </c>
    </row>
    <row r="202" spans="1:2" ht="67.5" x14ac:dyDescent="0.25">
      <c r="A202" s="43" t="s">
        <v>2178</v>
      </c>
      <c r="B202" s="44" t="s">
        <v>548</v>
      </c>
    </row>
    <row r="203" spans="1:2" ht="33.75" x14ac:dyDescent="0.25">
      <c r="A203" s="43" t="s">
        <v>2179</v>
      </c>
      <c r="B203" s="44" t="s">
        <v>549</v>
      </c>
    </row>
    <row r="204" spans="1:2" x14ac:dyDescent="0.25">
      <c r="A204" s="46" t="s">
        <v>550</v>
      </c>
      <c r="B204" s="47" t="s">
        <v>551</v>
      </c>
    </row>
    <row r="205" spans="1:2" x14ac:dyDescent="0.25">
      <c r="A205" s="46" t="s">
        <v>553</v>
      </c>
      <c r="B205" s="47" t="s">
        <v>95</v>
      </c>
    </row>
    <row r="206" spans="1:2" x14ac:dyDescent="0.25">
      <c r="A206" s="46" t="s">
        <v>555</v>
      </c>
      <c r="B206" s="47" t="s">
        <v>556</v>
      </c>
    </row>
    <row r="207" spans="1:2" ht="22.5" x14ac:dyDescent="0.25">
      <c r="A207" s="46" t="s">
        <v>557</v>
      </c>
      <c r="B207" s="47" t="s">
        <v>558</v>
      </c>
    </row>
    <row r="208" spans="1:2" ht="90" x14ac:dyDescent="0.25">
      <c r="A208" s="43"/>
      <c r="B208" s="44" t="s">
        <v>559</v>
      </c>
    </row>
    <row r="209" spans="1:2" ht="78.75" x14ac:dyDescent="0.25">
      <c r="A209" s="43"/>
      <c r="B209" s="44" t="s">
        <v>560</v>
      </c>
    </row>
    <row r="210" spans="1:2" ht="45" x14ac:dyDescent="0.25">
      <c r="A210" s="43"/>
      <c r="B210" s="44" t="s">
        <v>561</v>
      </c>
    </row>
    <row r="211" spans="1:2" x14ac:dyDescent="0.25">
      <c r="A211" s="37">
        <v>30</v>
      </c>
      <c r="B211" s="38" t="s">
        <v>562</v>
      </c>
    </row>
    <row r="212" spans="1:2" x14ac:dyDescent="0.25">
      <c r="A212" s="46" t="s">
        <v>2180</v>
      </c>
      <c r="B212" s="47" t="s">
        <v>19</v>
      </c>
    </row>
    <row r="213" spans="1:2" ht="22.5" x14ac:dyDescent="0.25">
      <c r="A213" s="46" t="s">
        <v>2181</v>
      </c>
      <c r="B213" s="47" t="s">
        <v>112</v>
      </c>
    </row>
    <row r="214" spans="1:2" x14ac:dyDescent="0.25">
      <c r="A214" s="46" t="s">
        <v>565</v>
      </c>
      <c r="B214" s="47" t="s">
        <v>566</v>
      </c>
    </row>
    <row r="215" spans="1:2" x14ac:dyDescent="0.25">
      <c r="A215" s="46" t="s">
        <v>568</v>
      </c>
      <c r="B215" s="47" t="s">
        <v>569</v>
      </c>
    </row>
    <row r="216" spans="1:2" x14ac:dyDescent="0.25">
      <c r="A216" s="46" t="s">
        <v>570</v>
      </c>
      <c r="B216" s="47" t="s">
        <v>571</v>
      </c>
    </row>
    <row r="217" spans="1:2" x14ac:dyDescent="0.25">
      <c r="A217" s="46" t="s">
        <v>572</v>
      </c>
      <c r="B217" s="47" t="s">
        <v>573</v>
      </c>
    </row>
    <row r="218" spans="1:2" x14ac:dyDescent="0.25">
      <c r="A218" s="46" t="s">
        <v>575</v>
      </c>
      <c r="B218" s="47" t="s">
        <v>576</v>
      </c>
    </row>
    <row r="219" spans="1:2" x14ac:dyDescent="0.25">
      <c r="A219" s="46" t="s">
        <v>578</v>
      </c>
      <c r="B219" s="47" t="s">
        <v>579</v>
      </c>
    </row>
    <row r="220" spans="1:2" x14ac:dyDescent="0.25">
      <c r="A220" s="46" t="s">
        <v>580</v>
      </c>
      <c r="B220" s="47" t="s">
        <v>581</v>
      </c>
    </row>
    <row r="221" spans="1:2" ht="22.5" x14ac:dyDescent="0.25">
      <c r="A221" s="43" t="s">
        <v>2182</v>
      </c>
      <c r="B221" s="44" t="s">
        <v>582</v>
      </c>
    </row>
    <row r="222" spans="1:2" x14ac:dyDescent="0.25">
      <c r="A222" s="46" t="s">
        <v>583</v>
      </c>
      <c r="B222" s="47" t="s">
        <v>584</v>
      </c>
    </row>
    <row r="223" spans="1:2" x14ac:dyDescent="0.25">
      <c r="A223" s="46" t="s">
        <v>586</v>
      </c>
      <c r="B223" s="47" t="s">
        <v>587</v>
      </c>
    </row>
    <row r="224" spans="1:2" x14ac:dyDescent="0.25">
      <c r="A224" s="46" t="s">
        <v>588</v>
      </c>
      <c r="B224" s="47" t="s">
        <v>589</v>
      </c>
    </row>
    <row r="225" spans="1:2" x14ac:dyDescent="0.25">
      <c r="A225" s="46" t="s">
        <v>592</v>
      </c>
      <c r="B225" s="47" t="s">
        <v>76</v>
      </c>
    </row>
    <row r="226" spans="1:2" x14ac:dyDescent="0.25">
      <c r="A226" s="46" t="s">
        <v>594</v>
      </c>
      <c r="B226" s="47" t="s">
        <v>595</v>
      </c>
    </row>
    <row r="227" spans="1:2" x14ac:dyDescent="0.25">
      <c r="A227" s="46" t="s">
        <v>596</v>
      </c>
      <c r="B227" s="47" t="s">
        <v>597</v>
      </c>
    </row>
    <row r="228" spans="1:2" x14ac:dyDescent="0.25">
      <c r="A228" s="46" t="s">
        <v>599</v>
      </c>
      <c r="B228" s="47" t="s">
        <v>600</v>
      </c>
    </row>
    <row r="229" spans="1:2" x14ac:dyDescent="0.25">
      <c r="A229" s="46" t="s">
        <v>601</v>
      </c>
      <c r="B229" s="47" t="s">
        <v>602</v>
      </c>
    </row>
    <row r="230" spans="1:2" x14ac:dyDescent="0.25">
      <c r="A230" s="46" t="s">
        <v>603</v>
      </c>
      <c r="B230" s="47" t="s">
        <v>604</v>
      </c>
    </row>
    <row r="231" spans="1:2" x14ac:dyDescent="0.25">
      <c r="A231" s="46" t="s">
        <v>605</v>
      </c>
      <c r="B231" s="47" t="s">
        <v>606</v>
      </c>
    </row>
    <row r="232" spans="1:2" x14ac:dyDescent="0.25">
      <c r="A232" s="46" t="s">
        <v>607</v>
      </c>
      <c r="B232" s="47" t="s">
        <v>608</v>
      </c>
    </row>
    <row r="233" spans="1:2" x14ac:dyDescent="0.25">
      <c r="A233" s="46" t="s">
        <v>609</v>
      </c>
      <c r="B233" s="47" t="s">
        <v>610</v>
      </c>
    </row>
    <row r="234" spans="1:2" x14ac:dyDescent="0.25">
      <c r="A234" s="46" t="s">
        <v>611</v>
      </c>
      <c r="B234" s="47" t="s">
        <v>612</v>
      </c>
    </row>
    <row r="235" spans="1:2" x14ac:dyDescent="0.25">
      <c r="A235" s="46" t="s">
        <v>611</v>
      </c>
      <c r="B235" s="47" t="s">
        <v>613</v>
      </c>
    </row>
    <row r="236" spans="1:2" x14ac:dyDescent="0.25">
      <c r="A236" s="46" t="s">
        <v>614</v>
      </c>
      <c r="B236" s="47" t="s">
        <v>615</v>
      </c>
    </row>
    <row r="237" spans="1:2" x14ac:dyDescent="0.25">
      <c r="A237" s="46" t="s">
        <v>616</v>
      </c>
      <c r="B237" s="47" t="s">
        <v>617</v>
      </c>
    </row>
    <row r="238" spans="1:2" ht="56.25" x14ac:dyDescent="0.25">
      <c r="A238" s="43" t="s">
        <v>2183</v>
      </c>
      <c r="B238" s="44" t="s">
        <v>618</v>
      </c>
    </row>
    <row r="239" spans="1:2" ht="78.75" x14ac:dyDescent="0.25">
      <c r="A239" s="43" t="s">
        <v>2184</v>
      </c>
      <c r="B239" s="44" t="s">
        <v>619</v>
      </c>
    </row>
    <row r="240" spans="1:2" ht="67.5" x14ac:dyDescent="0.25">
      <c r="A240" s="43" t="s">
        <v>2185</v>
      </c>
      <c r="B240" s="44" t="s">
        <v>620</v>
      </c>
    </row>
    <row r="241" spans="1:2" x14ac:dyDescent="0.25">
      <c r="A241" s="46" t="s">
        <v>2186</v>
      </c>
      <c r="B241" s="47" t="s">
        <v>621</v>
      </c>
    </row>
    <row r="242" spans="1:2" x14ac:dyDescent="0.25">
      <c r="A242" s="46" t="s">
        <v>2187</v>
      </c>
      <c r="B242" s="47" t="s">
        <v>623</v>
      </c>
    </row>
    <row r="243" spans="1:2" x14ac:dyDescent="0.25">
      <c r="A243" s="46" t="s">
        <v>2188</v>
      </c>
      <c r="B243" s="47" t="s">
        <v>625</v>
      </c>
    </row>
    <row r="244" spans="1:2" ht="22.5" x14ac:dyDescent="0.25">
      <c r="A244" s="46" t="s">
        <v>2189</v>
      </c>
      <c r="B244" s="47" t="s">
        <v>627</v>
      </c>
    </row>
    <row r="245" spans="1:2" ht="22.5" x14ac:dyDescent="0.25">
      <c r="A245" s="46" t="s">
        <v>2190</v>
      </c>
      <c r="B245" s="47" t="s">
        <v>629</v>
      </c>
    </row>
    <row r="246" spans="1:2" ht="33.75" x14ac:dyDescent="0.25">
      <c r="A246" s="46" t="s">
        <v>2191</v>
      </c>
      <c r="B246" s="44" t="s">
        <v>630</v>
      </c>
    </row>
    <row r="247" spans="1:2" x14ac:dyDescent="0.25">
      <c r="A247" s="43" t="s">
        <v>631</v>
      </c>
      <c r="B247" s="44" t="s">
        <v>632</v>
      </c>
    </row>
    <row r="248" spans="1:2" x14ac:dyDescent="0.25">
      <c r="A248" s="43" t="s">
        <v>635</v>
      </c>
      <c r="B248" s="44" t="s">
        <v>636</v>
      </c>
    </row>
    <row r="249" spans="1:2" ht="33.75" x14ac:dyDescent="0.25">
      <c r="A249" s="74"/>
      <c r="B249" s="75" t="s">
        <v>639</v>
      </c>
    </row>
    <row r="250" spans="1:2" ht="67.5" x14ac:dyDescent="0.25">
      <c r="A250" s="40"/>
      <c r="B250" s="41" t="s">
        <v>640</v>
      </c>
    </row>
    <row r="251" spans="1:2" ht="67.5" x14ac:dyDescent="0.25">
      <c r="A251" s="40"/>
      <c r="B251" s="41" t="s">
        <v>641</v>
      </c>
    </row>
    <row r="252" spans="1:2" x14ac:dyDescent="0.25">
      <c r="A252" s="74">
        <v>31</v>
      </c>
      <c r="B252" s="75" t="s">
        <v>95</v>
      </c>
    </row>
    <row r="253" spans="1:2" x14ac:dyDescent="0.25">
      <c r="A253" s="37">
        <v>32</v>
      </c>
      <c r="B253" s="38" t="s">
        <v>642</v>
      </c>
    </row>
    <row r="254" spans="1:2" x14ac:dyDescent="0.25">
      <c r="A254" s="46" t="s">
        <v>644</v>
      </c>
      <c r="B254" s="47" t="s">
        <v>19</v>
      </c>
    </row>
    <row r="255" spans="1:2" x14ac:dyDescent="0.25">
      <c r="A255" s="37">
        <v>33</v>
      </c>
      <c r="B255" s="38" t="s">
        <v>646</v>
      </c>
    </row>
    <row r="256" spans="1:2" x14ac:dyDescent="0.25">
      <c r="A256" s="46" t="s">
        <v>648</v>
      </c>
      <c r="B256" s="47" t="s">
        <v>649</v>
      </c>
    </row>
    <row r="257" spans="1:2" x14ac:dyDescent="0.25">
      <c r="A257" s="46" t="s">
        <v>651</v>
      </c>
      <c r="B257" s="47" t="s">
        <v>652</v>
      </c>
    </row>
    <row r="258" spans="1:2" x14ac:dyDescent="0.25">
      <c r="A258" s="46" t="s">
        <v>653</v>
      </c>
      <c r="B258" s="47" t="s">
        <v>654</v>
      </c>
    </row>
    <row r="259" spans="1:2" x14ac:dyDescent="0.25">
      <c r="A259" s="46" t="s">
        <v>655</v>
      </c>
      <c r="B259" s="47" t="s">
        <v>656</v>
      </c>
    </row>
    <row r="260" spans="1:2" x14ac:dyDescent="0.25">
      <c r="A260" s="43" t="s">
        <v>657</v>
      </c>
      <c r="B260" s="44" t="s">
        <v>658</v>
      </c>
    </row>
    <row r="261" spans="1:2" x14ac:dyDescent="0.25">
      <c r="A261" s="43" t="s">
        <v>659</v>
      </c>
      <c r="B261" s="44" t="s">
        <v>660</v>
      </c>
    </row>
    <row r="262" spans="1:2" x14ac:dyDescent="0.25">
      <c r="A262" s="37">
        <v>34</v>
      </c>
      <c r="B262" s="38" t="s">
        <v>662</v>
      </c>
    </row>
    <row r="263" spans="1:2" x14ac:dyDescent="0.25">
      <c r="A263" s="46" t="s">
        <v>664</v>
      </c>
      <c r="B263" s="47" t="s">
        <v>19</v>
      </c>
    </row>
    <row r="264" spans="1:2" x14ac:dyDescent="0.25">
      <c r="A264" s="37">
        <v>35</v>
      </c>
      <c r="B264" s="38" t="s">
        <v>666</v>
      </c>
    </row>
    <row r="265" spans="1:2" x14ac:dyDescent="0.25">
      <c r="A265" s="46" t="s">
        <v>2192</v>
      </c>
      <c r="B265" s="47" t="s">
        <v>19</v>
      </c>
    </row>
    <row r="266" spans="1:2" ht="22.5" x14ac:dyDescent="0.25">
      <c r="A266" s="46" t="s">
        <v>2193</v>
      </c>
      <c r="B266" s="47" t="s">
        <v>112</v>
      </c>
    </row>
    <row r="267" spans="1:2" x14ac:dyDescent="0.25">
      <c r="A267" s="46" t="s">
        <v>670</v>
      </c>
      <c r="B267" s="47" t="s">
        <v>671</v>
      </c>
    </row>
    <row r="268" spans="1:2" x14ac:dyDescent="0.25">
      <c r="A268" s="46" t="s">
        <v>673</v>
      </c>
      <c r="B268" s="47" t="s">
        <v>674</v>
      </c>
    </row>
    <row r="269" spans="1:2" x14ac:dyDescent="0.25">
      <c r="A269" s="37">
        <v>36</v>
      </c>
      <c r="B269" s="38" t="s">
        <v>676</v>
      </c>
    </row>
    <row r="270" spans="1:2" x14ac:dyDescent="0.25">
      <c r="A270" s="46" t="s">
        <v>678</v>
      </c>
      <c r="B270" s="47" t="s">
        <v>19</v>
      </c>
    </row>
    <row r="271" spans="1:2" x14ac:dyDescent="0.25">
      <c r="A271" s="37">
        <v>37</v>
      </c>
      <c r="B271" s="38" t="s">
        <v>53</v>
      </c>
    </row>
    <row r="272" spans="1:2" x14ac:dyDescent="0.25">
      <c r="A272" s="40" t="s">
        <v>55</v>
      </c>
      <c r="B272" s="41" t="s">
        <v>56</v>
      </c>
    </row>
    <row r="273" spans="1:2" x14ac:dyDescent="0.25">
      <c r="A273" s="43" t="s">
        <v>58</v>
      </c>
      <c r="B273" s="44" t="s">
        <v>59</v>
      </c>
    </row>
    <row r="274" spans="1:2" x14ac:dyDescent="0.25">
      <c r="A274" s="43" t="s">
        <v>62</v>
      </c>
      <c r="B274" s="44" t="s">
        <v>63</v>
      </c>
    </row>
    <row r="275" spans="1:2" x14ac:dyDescent="0.25">
      <c r="A275" s="89">
        <v>38</v>
      </c>
      <c r="B275" s="90" t="s">
        <v>679</v>
      </c>
    </row>
    <row r="276" spans="1:2" x14ac:dyDescent="0.25">
      <c r="A276" s="46" t="s">
        <v>2194</v>
      </c>
      <c r="B276" s="47" t="s">
        <v>19</v>
      </c>
    </row>
    <row r="277" spans="1:2" ht="22.5" x14ac:dyDescent="0.25">
      <c r="A277" s="46" t="s">
        <v>2195</v>
      </c>
      <c r="B277" s="47" t="s">
        <v>112</v>
      </c>
    </row>
    <row r="278" spans="1:2" x14ac:dyDescent="0.25">
      <c r="A278" s="46" t="s">
        <v>681</v>
      </c>
      <c r="B278" s="47" t="s">
        <v>56</v>
      </c>
    </row>
    <row r="279" spans="1:2" x14ac:dyDescent="0.25">
      <c r="A279" s="46" t="s">
        <v>682</v>
      </c>
      <c r="B279" s="47" t="s">
        <v>683</v>
      </c>
    </row>
    <row r="280" spans="1:2" x14ac:dyDescent="0.25">
      <c r="A280" s="46" t="s">
        <v>685</v>
      </c>
      <c r="B280" s="47" t="s">
        <v>686</v>
      </c>
    </row>
    <row r="281" spans="1:2" x14ac:dyDescent="0.25">
      <c r="A281" s="43" t="s">
        <v>687</v>
      </c>
      <c r="B281" s="44" t="s">
        <v>688</v>
      </c>
    </row>
    <row r="282" spans="1:2" x14ac:dyDescent="0.25">
      <c r="A282" s="46" t="s">
        <v>690</v>
      </c>
      <c r="B282" s="47" t="s">
        <v>691</v>
      </c>
    </row>
    <row r="283" spans="1:2" x14ac:dyDescent="0.25">
      <c r="A283" s="46" t="s">
        <v>692</v>
      </c>
      <c r="B283" s="47" t="s">
        <v>693</v>
      </c>
    </row>
    <row r="284" spans="1:2" ht="22.5" x14ac:dyDescent="0.25">
      <c r="A284" s="46" t="s">
        <v>694</v>
      </c>
      <c r="B284" s="47" t="s">
        <v>695</v>
      </c>
    </row>
    <row r="285" spans="1:2" x14ac:dyDescent="0.25">
      <c r="A285" s="46" t="s">
        <v>697</v>
      </c>
      <c r="B285" s="47" t="s">
        <v>698</v>
      </c>
    </row>
    <row r="286" spans="1:2" x14ac:dyDescent="0.25">
      <c r="A286" s="46" t="s">
        <v>699</v>
      </c>
      <c r="B286" s="47" t="s">
        <v>700</v>
      </c>
    </row>
    <row r="287" spans="1:2" x14ac:dyDescent="0.25">
      <c r="A287" s="46" t="s">
        <v>701</v>
      </c>
      <c r="B287" s="47" t="s">
        <v>702</v>
      </c>
    </row>
    <row r="288" spans="1:2" x14ac:dyDescent="0.25">
      <c r="A288" s="46" t="s">
        <v>703</v>
      </c>
      <c r="B288" s="47" t="s">
        <v>59</v>
      </c>
    </row>
    <row r="289" spans="1:2" x14ac:dyDescent="0.25">
      <c r="A289" s="46" t="s">
        <v>704</v>
      </c>
      <c r="B289" s="47" t="s">
        <v>705</v>
      </c>
    </row>
    <row r="290" spans="1:2" x14ac:dyDescent="0.25">
      <c r="A290" s="46" t="s">
        <v>706</v>
      </c>
      <c r="B290" s="47" t="s">
        <v>707</v>
      </c>
    </row>
    <row r="291" spans="1:2" x14ac:dyDescent="0.25">
      <c r="A291" s="46" t="s">
        <v>708</v>
      </c>
      <c r="B291" s="47" t="s">
        <v>709</v>
      </c>
    </row>
    <row r="292" spans="1:2" x14ac:dyDescent="0.25">
      <c r="A292" s="46" t="s">
        <v>710</v>
      </c>
      <c r="B292" s="47" t="s">
        <v>711</v>
      </c>
    </row>
    <row r="293" spans="1:2" x14ac:dyDescent="0.25">
      <c r="A293" s="46" t="s">
        <v>712</v>
      </c>
      <c r="B293" s="47" t="s">
        <v>713</v>
      </c>
    </row>
    <row r="294" spans="1:2" x14ac:dyDescent="0.25">
      <c r="A294" s="43" t="s">
        <v>714</v>
      </c>
      <c r="B294" s="44" t="s">
        <v>715</v>
      </c>
    </row>
    <row r="295" spans="1:2" x14ac:dyDescent="0.25">
      <c r="A295" s="46" t="s">
        <v>716</v>
      </c>
      <c r="B295" s="47" t="s">
        <v>717</v>
      </c>
    </row>
    <row r="296" spans="1:2" x14ac:dyDescent="0.25">
      <c r="A296" s="46" t="s">
        <v>718</v>
      </c>
      <c r="B296" s="47" t="s">
        <v>719</v>
      </c>
    </row>
    <row r="297" spans="1:2" ht="22.5" x14ac:dyDescent="0.25">
      <c r="A297" s="46" t="s">
        <v>720</v>
      </c>
      <c r="B297" s="47" t="s">
        <v>721</v>
      </c>
    </row>
    <row r="298" spans="1:2" x14ac:dyDescent="0.25">
      <c r="A298" s="46" t="s">
        <v>722</v>
      </c>
      <c r="B298" s="47" t="s">
        <v>723</v>
      </c>
    </row>
    <row r="299" spans="1:2" x14ac:dyDescent="0.25">
      <c r="A299" s="46" t="s">
        <v>724</v>
      </c>
      <c r="B299" s="47" t="s">
        <v>725</v>
      </c>
    </row>
    <row r="300" spans="1:2" x14ac:dyDescent="0.25">
      <c r="A300" s="46" t="s">
        <v>726</v>
      </c>
      <c r="B300" s="47" t="s">
        <v>727</v>
      </c>
    </row>
    <row r="301" spans="1:2" x14ac:dyDescent="0.25">
      <c r="A301" s="46" t="s">
        <v>728</v>
      </c>
      <c r="B301" s="47" t="s">
        <v>729</v>
      </c>
    </row>
    <row r="302" spans="1:2" x14ac:dyDescent="0.25">
      <c r="A302" s="37">
        <v>39</v>
      </c>
      <c r="B302" s="38" t="s">
        <v>731</v>
      </c>
    </row>
    <row r="303" spans="1:2" x14ac:dyDescent="0.25">
      <c r="A303" s="46" t="s">
        <v>733</v>
      </c>
      <c r="B303" s="47" t="s">
        <v>19</v>
      </c>
    </row>
    <row r="304" spans="1:2" x14ac:dyDescent="0.25">
      <c r="A304" s="37">
        <v>40</v>
      </c>
      <c r="B304" s="38" t="s">
        <v>734</v>
      </c>
    </row>
    <row r="305" spans="1:2" x14ac:dyDescent="0.25">
      <c r="A305" s="46" t="s">
        <v>736</v>
      </c>
      <c r="B305" s="47" t="s">
        <v>19</v>
      </c>
    </row>
    <row r="306" spans="1:2" x14ac:dyDescent="0.25">
      <c r="A306" s="37">
        <v>41</v>
      </c>
      <c r="B306" s="38" t="s">
        <v>64</v>
      </c>
    </row>
    <row r="307" spans="1:2" x14ac:dyDescent="0.25">
      <c r="A307" s="46" t="s">
        <v>65</v>
      </c>
      <c r="B307" s="47" t="s">
        <v>66</v>
      </c>
    </row>
    <row r="308" spans="1:2" x14ac:dyDescent="0.25">
      <c r="A308" s="46" t="s">
        <v>69</v>
      </c>
      <c r="B308" s="47" t="s">
        <v>70</v>
      </c>
    </row>
    <row r="309" spans="1:2" x14ac:dyDescent="0.25">
      <c r="A309" s="46" t="s">
        <v>72</v>
      </c>
      <c r="B309" s="47" t="s">
        <v>73</v>
      </c>
    </row>
    <row r="310" spans="1:2" x14ac:dyDescent="0.25">
      <c r="A310" s="46" t="s">
        <v>75</v>
      </c>
      <c r="B310" s="47" t="s">
        <v>76</v>
      </c>
    </row>
    <row r="311" spans="1:2" x14ac:dyDescent="0.25">
      <c r="A311" s="37">
        <v>42</v>
      </c>
      <c r="B311" s="38" t="s">
        <v>737</v>
      </c>
    </row>
    <row r="312" spans="1:2" x14ac:dyDescent="0.25">
      <c r="A312" s="46" t="s">
        <v>738</v>
      </c>
      <c r="B312" s="47" t="s">
        <v>739</v>
      </c>
    </row>
    <row r="313" spans="1:2" x14ac:dyDescent="0.25">
      <c r="A313" s="46" t="s">
        <v>742</v>
      </c>
      <c r="B313" s="47" t="s">
        <v>743</v>
      </c>
    </row>
    <row r="314" spans="1:2" x14ac:dyDescent="0.25">
      <c r="A314" s="46" t="s">
        <v>744</v>
      </c>
      <c r="B314" s="47" t="s">
        <v>745</v>
      </c>
    </row>
    <row r="315" spans="1:2" x14ac:dyDescent="0.25">
      <c r="A315" s="46" t="s">
        <v>746</v>
      </c>
      <c r="B315" s="47" t="s">
        <v>747</v>
      </c>
    </row>
    <row r="316" spans="1:2" x14ac:dyDescent="0.25">
      <c r="A316" s="43" t="s">
        <v>749</v>
      </c>
      <c r="B316" s="44" t="s">
        <v>750</v>
      </c>
    </row>
    <row r="317" spans="1:2" x14ac:dyDescent="0.25">
      <c r="A317" s="46" t="s">
        <v>752</v>
      </c>
      <c r="B317" s="47" t="s">
        <v>753</v>
      </c>
    </row>
    <row r="318" spans="1:2" x14ac:dyDescent="0.25">
      <c r="A318" s="46" t="s">
        <v>755</v>
      </c>
      <c r="B318" s="47" t="s">
        <v>756</v>
      </c>
    </row>
    <row r="319" spans="1:2" x14ac:dyDescent="0.25">
      <c r="A319" s="46" t="s">
        <v>761</v>
      </c>
      <c r="B319" s="47" t="s">
        <v>762</v>
      </c>
    </row>
    <row r="320" spans="1:2" x14ac:dyDescent="0.25">
      <c r="A320" s="46" t="s">
        <v>763</v>
      </c>
      <c r="B320" s="47" t="s">
        <v>764</v>
      </c>
    </row>
    <row r="321" spans="1:2" x14ac:dyDescent="0.25">
      <c r="A321" s="46" t="s">
        <v>765</v>
      </c>
      <c r="B321" s="47" t="s">
        <v>766</v>
      </c>
    </row>
    <row r="322" spans="1:2" x14ac:dyDescent="0.25">
      <c r="A322" s="46" t="s">
        <v>767</v>
      </c>
      <c r="B322" s="47" t="s">
        <v>768</v>
      </c>
    </row>
    <row r="323" spans="1:2" x14ac:dyDescent="0.25">
      <c r="A323" s="46" t="s">
        <v>771</v>
      </c>
      <c r="B323" s="47" t="s">
        <v>772</v>
      </c>
    </row>
    <row r="324" spans="1:2" x14ac:dyDescent="0.25">
      <c r="A324" s="46" t="s">
        <v>775</v>
      </c>
      <c r="B324" s="47" t="s">
        <v>776</v>
      </c>
    </row>
    <row r="325" spans="1:2" x14ac:dyDescent="0.25">
      <c r="A325" s="46" t="s">
        <v>777</v>
      </c>
      <c r="B325" s="47" t="s">
        <v>262</v>
      </c>
    </row>
    <row r="326" spans="1:2" x14ac:dyDescent="0.25">
      <c r="A326" s="46" t="s">
        <v>781</v>
      </c>
      <c r="B326" s="47" t="s">
        <v>782</v>
      </c>
    </row>
    <row r="327" spans="1:2" x14ac:dyDescent="0.25">
      <c r="A327" s="46" t="s">
        <v>783</v>
      </c>
      <c r="B327" s="47" t="s">
        <v>784</v>
      </c>
    </row>
    <row r="328" spans="1:2" x14ac:dyDescent="0.25">
      <c r="A328" s="46" t="s">
        <v>785</v>
      </c>
      <c r="B328" s="47" t="s">
        <v>786</v>
      </c>
    </row>
    <row r="329" spans="1:2" x14ac:dyDescent="0.25">
      <c r="A329" s="46" t="s">
        <v>788</v>
      </c>
      <c r="B329" s="47" t="s">
        <v>789</v>
      </c>
    </row>
    <row r="330" spans="1:2" x14ac:dyDescent="0.25">
      <c r="A330" s="46" t="s">
        <v>794</v>
      </c>
      <c r="B330" s="47" t="s">
        <v>95</v>
      </c>
    </row>
    <row r="331" spans="1:2" x14ac:dyDescent="0.25">
      <c r="A331" s="46" t="s">
        <v>796</v>
      </c>
      <c r="B331" s="47" t="s">
        <v>797</v>
      </c>
    </row>
    <row r="332" spans="1:2" x14ac:dyDescent="0.25">
      <c r="A332" s="46" t="s">
        <v>798</v>
      </c>
      <c r="B332" s="47" t="s">
        <v>799</v>
      </c>
    </row>
    <row r="333" spans="1:2" x14ac:dyDescent="0.25">
      <c r="A333" s="46" t="s">
        <v>800</v>
      </c>
      <c r="B333" s="47" t="s">
        <v>801</v>
      </c>
    </row>
    <row r="334" spans="1:2" x14ac:dyDescent="0.25">
      <c r="A334" s="46" t="s">
        <v>802</v>
      </c>
      <c r="B334" s="47" t="s">
        <v>803</v>
      </c>
    </row>
    <row r="335" spans="1:2" x14ac:dyDescent="0.25">
      <c r="A335" s="46" t="s">
        <v>804</v>
      </c>
      <c r="B335" s="47" t="s">
        <v>805</v>
      </c>
    </row>
    <row r="336" spans="1:2" x14ac:dyDescent="0.25">
      <c r="A336" s="46" t="s">
        <v>806</v>
      </c>
      <c r="B336" s="47" t="s">
        <v>807</v>
      </c>
    </row>
    <row r="337" spans="1:2" x14ac:dyDescent="0.25">
      <c r="A337" s="46" t="s">
        <v>808</v>
      </c>
      <c r="B337" s="47" t="s">
        <v>809</v>
      </c>
    </row>
    <row r="338" spans="1:2" x14ac:dyDescent="0.25">
      <c r="A338" s="46" t="s">
        <v>810</v>
      </c>
      <c r="B338" s="47" t="s">
        <v>811</v>
      </c>
    </row>
    <row r="339" spans="1:2" x14ac:dyDescent="0.25">
      <c r="A339" s="46" t="s">
        <v>812</v>
      </c>
      <c r="B339" s="47" t="s">
        <v>813</v>
      </c>
    </row>
    <row r="340" spans="1:2" x14ac:dyDescent="0.25">
      <c r="A340" s="46" t="s">
        <v>814</v>
      </c>
      <c r="B340" s="47" t="s">
        <v>815</v>
      </c>
    </row>
    <row r="341" spans="1:2" x14ac:dyDescent="0.25">
      <c r="A341" s="46" t="s">
        <v>816</v>
      </c>
      <c r="B341" s="47" t="s">
        <v>817</v>
      </c>
    </row>
    <row r="342" spans="1:2" x14ac:dyDescent="0.25">
      <c r="A342" s="46" t="s">
        <v>818</v>
      </c>
      <c r="B342" s="47" t="s">
        <v>819</v>
      </c>
    </row>
    <row r="343" spans="1:2" x14ac:dyDescent="0.25">
      <c r="A343" s="46" t="s">
        <v>820</v>
      </c>
      <c r="B343" s="47" t="s">
        <v>821</v>
      </c>
    </row>
    <row r="344" spans="1:2" x14ac:dyDescent="0.25">
      <c r="A344" s="46" t="s">
        <v>822</v>
      </c>
      <c r="B344" s="47" t="s">
        <v>823</v>
      </c>
    </row>
    <row r="345" spans="1:2" x14ac:dyDescent="0.25">
      <c r="A345" s="46" t="s">
        <v>824</v>
      </c>
      <c r="B345" s="47" t="s">
        <v>825</v>
      </c>
    </row>
    <row r="346" spans="1:2" x14ac:dyDescent="0.25">
      <c r="A346" s="37">
        <v>43</v>
      </c>
      <c r="B346" s="38" t="s">
        <v>826</v>
      </c>
    </row>
    <row r="347" spans="1:2" x14ac:dyDescent="0.25">
      <c r="A347" s="46" t="s">
        <v>828</v>
      </c>
      <c r="B347" s="47" t="s">
        <v>19</v>
      </c>
    </row>
    <row r="348" spans="1:2" x14ac:dyDescent="0.25">
      <c r="A348" s="37">
        <v>44</v>
      </c>
      <c r="B348" s="38" t="s">
        <v>77</v>
      </c>
    </row>
    <row r="349" spans="1:2" x14ac:dyDescent="0.25">
      <c r="A349" s="49" t="s">
        <v>78</v>
      </c>
      <c r="B349" s="50" t="s">
        <v>79</v>
      </c>
    </row>
    <row r="350" spans="1:2" x14ac:dyDescent="0.25">
      <c r="A350" s="49" t="s">
        <v>831</v>
      </c>
      <c r="B350" s="50" t="s">
        <v>832</v>
      </c>
    </row>
    <row r="351" spans="1:2" x14ac:dyDescent="0.25">
      <c r="A351" s="49" t="s">
        <v>835</v>
      </c>
      <c r="B351" s="50" t="s">
        <v>836</v>
      </c>
    </row>
    <row r="352" spans="1:2" x14ac:dyDescent="0.25">
      <c r="A352" s="49" t="s">
        <v>837</v>
      </c>
      <c r="B352" s="50" t="s">
        <v>838</v>
      </c>
    </row>
    <row r="353" spans="1:2" x14ac:dyDescent="0.25">
      <c r="A353" s="49" t="s">
        <v>81</v>
      </c>
      <c r="B353" s="50" t="s">
        <v>82</v>
      </c>
    </row>
    <row r="354" spans="1:2" x14ac:dyDescent="0.25">
      <c r="A354" s="49" t="s">
        <v>83</v>
      </c>
      <c r="B354" s="50" t="s">
        <v>84</v>
      </c>
    </row>
    <row r="355" spans="1:2" x14ac:dyDescent="0.25">
      <c r="A355" s="46" t="s">
        <v>85</v>
      </c>
      <c r="B355" s="47" t="s">
        <v>86</v>
      </c>
    </row>
    <row r="356" spans="1:2" x14ac:dyDescent="0.25">
      <c r="A356" s="49" t="s">
        <v>88</v>
      </c>
      <c r="B356" s="50" t="s">
        <v>76</v>
      </c>
    </row>
    <row r="357" spans="1:2" x14ac:dyDescent="0.25">
      <c r="A357" s="49" t="s">
        <v>844</v>
      </c>
      <c r="B357" s="50" t="s">
        <v>845</v>
      </c>
    </row>
    <row r="358" spans="1:2" x14ac:dyDescent="0.25">
      <c r="A358" s="49" t="s">
        <v>846</v>
      </c>
      <c r="B358" s="50" t="s">
        <v>847</v>
      </c>
    </row>
    <row r="359" spans="1:2" x14ac:dyDescent="0.25">
      <c r="A359" s="37">
        <v>45</v>
      </c>
      <c r="B359" s="38" t="s">
        <v>848</v>
      </c>
    </row>
    <row r="360" spans="1:2" x14ac:dyDescent="0.25">
      <c r="A360" s="49" t="s">
        <v>850</v>
      </c>
      <c r="B360" s="50" t="s">
        <v>851</v>
      </c>
    </row>
    <row r="361" spans="1:2" x14ac:dyDescent="0.25">
      <c r="A361" s="49" t="s">
        <v>852</v>
      </c>
      <c r="B361" s="50" t="s">
        <v>853</v>
      </c>
    </row>
    <row r="362" spans="1:2" x14ac:dyDescent="0.25">
      <c r="A362" s="49" t="s">
        <v>854</v>
      </c>
      <c r="B362" s="50" t="s">
        <v>855</v>
      </c>
    </row>
    <row r="363" spans="1:2" x14ac:dyDescent="0.25">
      <c r="A363" s="49" t="s">
        <v>858</v>
      </c>
      <c r="B363" s="50" t="s">
        <v>859</v>
      </c>
    </row>
    <row r="364" spans="1:2" x14ac:dyDescent="0.25">
      <c r="A364" s="49" t="s">
        <v>860</v>
      </c>
      <c r="B364" s="50" t="s">
        <v>841</v>
      </c>
    </row>
    <row r="365" spans="1:2" x14ac:dyDescent="0.25">
      <c r="A365" s="49" t="s">
        <v>861</v>
      </c>
      <c r="B365" s="50" t="s">
        <v>84</v>
      </c>
    </row>
    <row r="366" spans="1:2" x14ac:dyDescent="0.25">
      <c r="A366" s="46" t="s">
        <v>862</v>
      </c>
      <c r="B366" s="47" t="s">
        <v>86</v>
      </c>
    </row>
    <row r="367" spans="1:2" x14ac:dyDescent="0.25">
      <c r="A367" s="49" t="s">
        <v>864</v>
      </c>
      <c r="B367" s="50" t="s">
        <v>95</v>
      </c>
    </row>
    <row r="368" spans="1:2" x14ac:dyDescent="0.25">
      <c r="A368" s="37">
        <v>46</v>
      </c>
      <c r="B368" s="38" t="s">
        <v>865</v>
      </c>
    </row>
    <row r="369" spans="1:2" x14ac:dyDescent="0.25">
      <c r="A369" s="37">
        <v>47</v>
      </c>
      <c r="B369" s="38" t="s">
        <v>89</v>
      </c>
    </row>
    <row r="370" spans="1:2" x14ac:dyDescent="0.25">
      <c r="A370" s="40" t="s">
        <v>90</v>
      </c>
      <c r="B370" s="41" t="s">
        <v>91</v>
      </c>
    </row>
    <row r="371" spans="1:2" x14ac:dyDescent="0.25">
      <c r="A371" s="46" t="s">
        <v>92</v>
      </c>
      <c r="B371" s="47" t="s">
        <v>93</v>
      </c>
    </row>
    <row r="372" spans="1:2" x14ac:dyDescent="0.25">
      <c r="A372" s="40" t="s">
        <v>94</v>
      </c>
      <c r="B372" s="41" t="s">
        <v>95</v>
      </c>
    </row>
    <row r="373" spans="1:2" x14ac:dyDescent="0.25">
      <c r="A373" s="40" t="s">
        <v>96</v>
      </c>
      <c r="B373" s="41" t="s">
        <v>97</v>
      </c>
    </row>
    <row r="374" spans="1:2" x14ac:dyDescent="0.25">
      <c r="A374" s="37">
        <v>48</v>
      </c>
      <c r="B374" s="38" t="s">
        <v>867</v>
      </c>
    </row>
    <row r="375" spans="1:2" x14ac:dyDescent="0.25">
      <c r="A375" s="46" t="s">
        <v>868</v>
      </c>
      <c r="B375" s="47" t="s">
        <v>869</v>
      </c>
    </row>
    <row r="376" spans="1:2" x14ac:dyDescent="0.25">
      <c r="A376" s="46" t="s">
        <v>871</v>
      </c>
      <c r="B376" s="47" t="s">
        <v>872</v>
      </c>
    </row>
    <row r="377" spans="1:2" x14ac:dyDescent="0.25">
      <c r="A377" s="40" t="s">
        <v>873</v>
      </c>
      <c r="B377" s="41" t="s">
        <v>874</v>
      </c>
    </row>
    <row r="378" spans="1:2" x14ac:dyDescent="0.25">
      <c r="A378" s="46" t="s">
        <v>875</v>
      </c>
      <c r="B378" s="47" t="s">
        <v>876</v>
      </c>
    </row>
    <row r="379" spans="1:2" x14ac:dyDescent="0.25">
      <c r="A379" s="46" t="s">
        <v>877</v>
      </c>
      <c r="B379" s="47" t="s">
        <v>878</v>
      </c>
    </row>
    <row r="380" spans="1:2" x14ac:dyDescent="0.25">
      <c r="A380" s="46" t="s">
        <v>882</v>
      </c>
      <c r="B380" s="47" t="s">
        <v>883</v>
      </c>
    </row>
    <row r="381" spans="1:2" x14ac:dyDescent="0.25">
      <c r="A381" s="46" t="s">
        <v>884</v>
      </c>
      <c r="B381" s="47" t="s">
        <v>95</v>
      </c>
    </row>
    <row r="382" spans="1:2" x14ac:dyDescent="0.25">
      <c r="A382" s="46" t="s">
        <v>885</v>
      </c>
      <c r="B382" s="47" t="s">
        <v>886</v>
      </c>
    </row>
    <row r="383" spans="1:2" x14ac:dyDescent="0.25">
      <c r="A383" s="46" t="s">
        <v>887</v>
      </c>
      <c r="B383" s="47" t="s">
        <v>888</v>
      </c>
    </row>
    <row r="384" spans="1:2" x14ac:dyDescent="0.25">
      <c r="A384" s="37">
        <v>49</v>
      </c>
      <c r="B384" s="38" t="s">
        <v>889</v>
      </c>
    </row>
    <row r="385" spans="1:2" x14ac:dyDescent="0.25">
      <c r="A385" s="37">
        <v>50</v>
      </c>
      <c r="B385" s="38" t="s">
        <v>891</v>
      </c>
    </row>
    <row r="386" spans="1:2" x14ac:dyDescent="0.25">
      <c r="A386" s="37">
        <v>51</v>
      </c>
      <c r="B386" s="38" t="s">
        <v>895</v>
      </c>
    </row>
    <row r="387" spans="1:2" x14ac:dyDescent="0.25">
      <c r="A387" s="46" t="s">
        <v>897</v>
      </c>
      <c r="B387" s="47" t="s">
        <v>19</v>
      </c>
    </row>
    <row r="388" spans="1:2" x14ac:dyDescent="0.25">
      <c r="A388" s="37">
        <v>52</v>
      </c>
      <c r="B388" s="38" t="s">
        <v>898</v>
      </c>
    </row>
  </sheetData>
  <autoFilter ref="A1:B388" xr:uid="{A7E1420B-F3E8-4454-B72A-971A321E26CD}"/>
  <dataConsolidate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Доходная часть ТО, ЦП</vt:lpstr>
      <vt:lpstr>Расходная часть ТО, ЦП</vt:lpstr>
      <vt:lpstr>Лист5</vt:lpstr>
      <vt:lpstr>Лист6</vt:lpstr>
      <vt:lpstr>Группа статей 38</vt:lpstr>
      <vt:lpstr>Лист2</vt:lpstr>
      <vt:lpstr>Лист4</vt:lpstr>
      <vt:lpstr>упр статьи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Бекиш Татьяна Александровна</dc:creator>
  <cp:lastModifiedBy>Вашкевич Павел Владимирович</cp:lastModifiedBy>
  <cp:revision>4</cp:revision>
  <dcterms:created xsi:type="dcterms:W3CDTF">2026-01-30T07:26:37Z</dcterms:created>
  <dcterms:modified xsi:type="dcterms:W3CDTF">2026-08-18T11:45:47Z</dcterms:modified>
</cp:coreProperties>
</file>